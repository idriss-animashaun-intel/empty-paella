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cdonag\Downloads\NEW\"/>
    </mc:Choice>
  </mc:AlternateContent>
  <xr:revisionPtr revIDLastSave="0" documentId="13_ncr:1_{F50D7348-DAE8-46A0-9E19-0067E7A70F19}" xr6:coauthVersionLast="46" xr6:coauthVersionMax="46" xr10:uidLastSave="{00000000-0000-0000-0000-000000000000}"/>
  <bookViews>
    <workbookView xWindow="28680" yWindow="-120" windowWidth="29040" windowHeight="17640" xr2:uid="{00000000-000D-0000-FFFF-FFFF00000000}"/>
  </bookViews>
  <sheets>
    <sheet name="ADTL_PRE_POST_CSE" sheetId="1" r:id="rId1"/>
    <sheet name="D%$&amp;01_DevSheet" sheetId="6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6" l="1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CV2" i="6"/>
  <c r="CW2" i="6"/>
  <c r="CX2" i="6"/>
  <c r="CY2" i="6"/>
  <c r="CZ2" i="6"/>
  <c r="DA2" i="6"/>
  <c r="DB2" i="6"/>
  <c r="DC2" i="6"/>
  <c r="DD2" i="6"/>
  <c r="DE2" i="6"/>
  <c r="DF2" i="6"/>
  <c r="DG2" i="6"/>
  <c r="DH2" i="6"/>
  <c r="DI2" i="6"/>
  <c r="DJ2" i="6"/>
  <c r="DK2" i="6"/>
  <c r="DL2" i="6"/>
  <c r="DM2" i="6"/>
  <c r="DN2" i="6"/>
  <c r="DO2" i="6"/>
  <c r="DP2" i="6"/>
  <c r="DQ2" i="6"/>
  <c r="DR2" i="6"/>
  <c r="DS2" i="6"/>
  <c r="DT2" i="6"/>
  <c r="DU2" i="6"/>
  <c r="DV2" i="6"/>
  <c r="DW2" i="6"/>
  <c r="DX2" i="6"/>
  <c r="DY2" i="6"/>
  <c r="DZ2" i="6"/>
  <c r="EA2" i="6"/>
  <c r="EB2" i="6"/>
  <c r="EC2" i="6"/>
  <c r="ED2" i="6"/>
  <c r="EE2" i="6"/>
  <c r="EF2" i="6"/>
  <c r="EG2" i="6"/>
  <c r="EH2" i="6"/>
  <c r="EI2" i="6"/>
  <c r="EJ2" i="6"/>
  <c r="EK2" i="6"/>
  <c r="EL2" i="6"/>
  <c r="EM2" i="6"/>
  <c r="EN2" i="6"/>
  <c r="EO2" i="6"/>
  <c r="EP2" i="6"/>
  <c r="EQ2" i="6"/>
  <c r="ER2" i="6"/>
  <c r="ES2" i="6"/>
  <c r="ET2" i="6"/>
  <c r="EU2" i="6"/>
  <c r="EV2" i="6"/>
  <c r="EW2" i="6"/>
  <c r="EX2" i="6"/>
  <c r="EY2" i="6"/>
  <c r="EZ2" i="6"/>
  <c r="FA2" i="6"/>
  <c r="FB2" i="6"/>
  <c r="FC2" i="6"/>
  <c r="FD2" i="6"/>
  <c r="FE2" i="6"/>
  <c r="FF2" i="6"/>
  <c r="FG2" i="6"/>
  <c r="FH2" i="6"/>
  <c r="FI2" i="6"/>
  <c r="FJ2" i="6"/>
  <c r="FK2" i="6"/>
  <c r="FL2" i="6"/>
  <c r="FM2" i="6"/>
  <c r="FN2" i="6"/>
  <c r="FO2" i="6"/>
  <c r="FP2" i="6"/>
  <c r="FQ2" i="6"/>
  <c r="FR2" i="6"/>
  <c r="FS2" i="6"/>
  <c r="FT2" i="6"/>
  <c r="FU2" i="6"/>
  <c r="FV2" i="6"/>
  <c r="FW2" i="6"/>
  <c r="FX2" i="6"/>
  <c r="FY2" i="6"/>
  <c r="FZ2" i="6"/>
  <c r="GA2" i="6"/>
  <c r="GB2" i="6"/>
  <c r="GC2" i="6"/>
  <c r="GD2" i="6"/>
  <c r="GE2" i="6"/>
  <c r="GF2" i="6"/>
  <c r="GG2" i="6"/>
  <c r="GH2" i="6"/>
  <c r="GI2" i="6"/>
  <c r="GJ2" i="6"/>
  <c r="GK2" i="6"/>
  <c r="GL2" i="6"/>
  <c r="GM2" i="6"/>
  <c r="GN2" i="6"/>
  <c r="GO2" i="6"/>
  <c r="GP2" i="6"/>
  <c r="GQ2" i="6"/>
  <c r="GR2" i="6"/>
  <c r="GS2" i="6"/>
  <c r="GT2" i="6"/>
  <c r="GU2" i="6"/>
  <c r="GV2" i="6"/>
  <c r="GW2" i="6"/>
  <c r="GX2" i="6"/>
  <c r="GY2" i="6"/>
  <c r="GZ2" i="6"/>
  <c r="HA2" i="6"/>
  <c r="HB2" i="6"/>
  <c r="HC2" i="6"/>
  <c r="HD2" i="6"/>
  <c r="HE2" i="6"/>
  <c r="HF2" i="6"/>
  <c r="HG2" i="6"/>
  <c r="HH2" i="6"/>
  <c r="HI2" i="6"/>
  <c r="HJ2" i="6"/>
  <c r="HK2" i="6"/>
  <c r="HL2" i="6"/>
  <c r="HM2" i="6"/>
  <c r="HN2" i="6"/>
  <c r="HO2" i="6"/>
  <c r="HP2" i="6"/>
  <c r="HQ2" i="6"/>
  <c r="HR2" i="6"/>
  <c r="HS2" i="6"/>
  <c r="HT2" i="6"/>
  <c r="HU2" i="6"/>
  <c r="HV2" i="6"/>
  <c r="HW2" i="6"/>
  <c r="HX2" i="6"/>
  <c r="HY2" i="6"/>
  <c r="HZ2" i="6"/>
  <c r="IA2" i="6"/>
  <c r="IB2" i="6"/>
  <c r="IC2" i="6"/>
  <c r="ID2" i="6"/>
  <c r="IE2" i="6"/>
  <c r="IF2" i="6"/>
  <c r="IG2" i="6"/>
  <c r="IH2" i="6"/>
  <c r="II2" i="6"/>
  <c r="IJ2" i="6"/>
  <c r="IK2" i="6"/>
  <c r="IL2" i="6"/>
  <c r="IM2" i="6"/>
  <c r="IN2" i="6"/>
  <c r="IO2" i="6"/>
  <c r="IP2" i="6"/>
  <c r="IQ2" i="6"/>
  <c r="IR2" i="6"/>
  <c r="IS2" i="6"/>
  <c r="IT2" i="6"/>
  <c r="IU2" i="6"/>
  <c r="IV2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CW3" i="6"/>
  <c r="CX3" i="6"/>
  <c r="CY3" i="6"/>
  <c r="CZ3" i="6"/>
  <c r="DA3" i="6"/>
  <c r="DB3" i="6"/>
  <c r="DC3" i="6"/>
  <c r="DD3" i="6"/>
  <c r="DE3" i="6"/>
  <c r="DF3" i="6"/>
  <c r="DG3" i="6"/>
  <c r="DH3" i="6"/>
  <c r="DI3" i="6"/>
  <c r="DJ3" i="6"/>
  <c r="DK3" i="6"/>
  <c r="DL3" i="6"/>
  <c r="DM3" i="6"/>
  <c r="DN3" i="6"/>
  <c r="DO3" i="6"/>
  <c r="DP3" i="6"/>
  <c r="DQ3" i="6"/>
  <c r="DR3" i="6"/>
  <c r="DS3" i="6"/>
  <c r="DT3" i="6"/>
  <c r="DU3" i="6"/>
  <c r="DV3" i="6"/>
  <c r="DW3" i="6"/>
  <c r="DX3" i="6"/>
  <c r="DY3" i="6"/>
  <c r="DZ3" i="6"/>
  <c r="EA3" i="6"/>
  <c r="EB3" i="6"/>
  <c r="EC3" i="6"/>
  <c r="ED3" i="6"/>
  <c r="EE3" i="6"/>
  <c r="EF3" i="6"/>
  <c r="EG3" i="6"/>
  <c r="EH3" i="6"/>
  <c r="EI3" i="6"/>
  <c r="EJ3" i="6"/>
  <c r="EK3" i="6"/>
  <c r="EL3" i="6"/>
  <c r="EM3" i="6"/>
  <c r="EN3" i="6"/>
  <c r="EO3" i="6"/>
  <c r="EP3" i="6"/>
  <c r="EQ3" i="6"/>
  <c r="ER3" i="6"/>
  <c r="ES3" i="6"/>
  <c r="ET3" i="6"/>
  <c r="EU3" i="6"/>
  <c r="EV3" i="6"/>
  <c r="EW3" i="6"/>
  <c r="EX3" i="6"/>
  <c r="EY3" i="6"/>
  <c r="EZ3" i="6"/>
  <c r="FA3" i="6"/>
  <c r="FB3" i="6"/>
  <c r="FC3" i="6"/>
  <c r="FD3" i="6"/>
  <c r="FE3" i="6"/>
  <c r="FF3" i="6"/>
  <c r="FG3" i="6"/>
  <c r="FH3" i="6"/>
  <c r="FI3" i="6"/>
  <c r="FJ3" i="6"/>
  <c r="FK3" i="6"/>
  <c r="FL3" i="6"/>
  <c r="FM3" i="6"/>
  <c r="FN3" i="6"/>
  <c r="FO3" i="6"/>
  <c r="FP3" i="6"/>
  <c r="FQ3" i="6"/>
  <c r="FR3" i="6"/>
  <c r="FS3" i="6"/>
  <c r="FT3" i="6"/>
  <c r="FU3" i="6"/>
  <c r="FV3" i="6"/>
  <c r="FW3" i="6"/>
  <c r="FX3" i="6"/>
  <c r="FY3" i="6"/>
  <c r="FZ3" i="6"/>
  <c r="GA3" i="6"/>
  <c r="GB3" i="6"/>
  <c r="GC3" i="6"/>
  <c r="GD3" i="6"/>
  <c r="GE3" i="6"/>
  <c r="GF3" i="6"/>
  <c r="GG3" i="6"/>
  <c r="GH3" i="6"/>
  <c r="GI3" i="6"/>
  <c r="GJ3" i="6"/>
  <c r="GK3" i="6"/>
  <c r="GL3" i="6"/>
  <c r="GM3" i="6"/>
  <c r="GN3" i="6"/>
  <c r="GO3" i="6"/>
  <c r="GP3" i="6"/>
  <c r="GQ3" i="6"/>
  <c r="GR3" i="6"/>
  <c r="GS3" i="6"/>
  <c r="GT3" i="6"/>
  <c r="GU3" i="6"/>
  <c r="GV3" i="6"/>
  <c r="GW3" i="6"/>
  <c r="GX3" i="6"/>
  <c r="GY3" i="6"/>
  <c r="GZ3" i="6"/>
  <c r="HA3" i="6"/>
  <c r="HB3" i="6"/>
  <c r="HC3" i="6"/>
  <c r="HD3" i="6"/>
  <c r="HE3" i="6"/>
  <c r="HF3" i="6"/>
  <c r="HG3" i="6"/>
  <c r="HH3" i="6"/>
  <c r="HI3" i="6"/>
  <c r="HJ3" i="6"/>
  <c r="HK3" i="6"/>
  <c r="HL3" i="6"/>
  <c r="HM3" i="6"/>
  <c r="HN3" i="6"/>
  <c r="HO3" i="6"/>
  <c r="HP3" i="6"/>
  <c r="HQ3" i="6"/>
  <c r="HR3" i="6"/>
  <c r="HS3" i="6"/>
  <c r="HT3" i="6"/>
  <c r="HU3" i="6"/>
  <c r="HV3" i="6"/>
  <c r="HW3" i="6"/>
  <c r="HX3" i="6"/>
  <c r="HY3" i="6"/>
  <c r="HZ3" i="6"/>
  <c r="IA3" i="6"/>
  <c r="IB3" i="6"/>
  <c r="IC3" i="6"/>
  <c r="ID3" i="6"/>
  <c r="IE3" i="6"/>
  <c r="IF3" i="6"/>
  <c r="IG3" i="6"/>
  <c r="IH3" i="6"/>
  <c r="II3" i="6"/>
  <c r="IJ3" i="6"/>
  <c r="IK3" i="6"/>
  <c r="IL3" i="6"/>
  <c r="IM3" i="6"/>
  <c r="IN3" i="6"/>
  <c r="IO3" i="6"/>
  <c r="IP3" i="6"/>
  <c r="IQ3" i="6"/>
  <c r="IR3" i="6"/>
  <c r="IS3" i="6"/>
  <c r="IT3" i="6"/>
  <c r="IU3" i="6"/>
  <c r="IV3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DX4" i="6"/>
  <c r="DY4" i="6"/>
  <c r="DZ4" i="6"/>
  <c r="EA4" i="6"/>
  <c r="EB4" i="6"/>
  <c r="EC4" i="6"/>
  <c r="ED4" i="6"/>
  <c r="EE4" i="6"/>
  <c r="EF4" i="6"/>
  <c r="EG4" i="6"/>
  <c r="EH4" i="6"/>
  <c r="EI4" i="6"/>
  <c r="EJ4" i="6"/>
  <c r="EK4" i="6"/>
  <c r="EL4" i="6"/>
  <c r="EM4" i="6"/>
  <c r="EN4" i="6"/>
  <c r="EO4" i="6"/>
  <c r="EP4" i="6"/>
  <c r="EQ4" i="6"/>
  <c r="ER4" i="6"/>
  <c r="ES4" i="6"/>
  <c r="ET4" i="6"/>
  <c r="EU4" i="6"/>
  <c r="EV4" i="6"/>
  <c r="EW4" i="6"/>
  <c r="EX4" i="6"/>
  <c r="EY4" i="6"/>
  <c r="EZ4" i="6"/>
  <c r="FA4" i="6"/>
  <c r="FB4" i="6"/>
  <c r="FC4" i="6"/>
  <c r="FD4" i="6"/>
  <c r="FE4" i="6"/>
  <c r="FF4" i="6"/>
  <c r="FG4" i="6"/>
  <c r="FH4" i="6"/>
  <c r="FI4" i="6"/>
  <c r="FJ4" i="6"/>
  <c r="FK4" i="6"/>
  <c r="FL4" i="6"/>
  <c r="FM4" i="6"/>
  <c r="FN4" i="6"/>
  <c r="FO4" i="6"/>
  <c r="FP4" i="6"/>
  <c r="FQ4" i="6"/>
  <c r="FR4" i="6"/>
  <c r="FS4" i="6"/>
  <c r="FT4" i="6"/>
  <c r="FU4" i="6"/>
  <c r="FV4" i="6"/>
  <c r="FW4" i="6"/>
  <c r="FX4" i="6"/>
  <c r="FY4" i="6"/>
  <c r="FZ4" i="6"/>
  <c r="GA4" i="6"/>
  <c r="GB4" i="6"/>
  <c r="GC4" i="6"/>
  <c r="GD4" i="6"/>
  <c r="GE4" i="6"/>
  <c r="GF4" i="6"/>
  <c r="GG4" i="6"/>
  <c r="GH4" i="6"/>
  <c r="GI4" i="6"/>
  <c r="GJ4" i="6"/>
  <c r="GK4" i="6"/>
  <c r="GL4" i="6"/>
  <c r="GM4" i="6"/>
  <c r="GN4" i="6"/>
  <c r="GO4" i="6"/>
  <c r="GP4" i="6"/>
  <c r="GQ4" i="6"/>
  <c r="GR4" i="6"/>
  <c r="GS4" i="6"/>
  <c r="GT4" i="6"/>
  <c r="GU4" i="6"/>
  <c r="GV4" i="6"/>
  <c r="GW4" i="6"/>
  <c r="GX4" i="6"/>
  <c r="GY4" i="6"/>
  <c r="GZ4" i="6"/>
  <c r="HA4" i="6"/>
  <c r="HB4" i="6"/>
  <c r="HC4" i="6"/>
  <c r="HD4" i="6"/>
  <c r="HE4" i="6"/>
  <c r="HF4" i="6"/>
  <c r="HG4" i="6"/>
  <c r="HH4" i="6"/>
  <c r="HI4" i="6"/>
  <c r="HJ4" i="6"/>
  <c r="HK4" i="6"/>
  <c r="HL4" i="6"/>
  <c r="HM4" i="6"/>
  <c r="HN4" i="6"/>
  <c r="HO4" i="6"/>
  <c r="HP4" i="6"/>
  <c r="HQ4" i="6"/>
  <c r="HR4" i="6"/>
  <c r="HS4" i="6"/>
  <c r="HT4" i="6"/>
  <c r="HU4" i="6"/>
  <c r="HV4" i="6"/>
  <c r="HW4" i="6"/>
  <c r="HX4" i="6"/>
  <c r="HY4" i="6"/>
  <c r="HZ4" i="6"/>
  <c r="IA4" i="6"/>
  <c r="IB4" i="6"/>
  <c r="IC4" i="6"/>
  <c r="ID4" i="6"/>
  <c r="IE4" i="6"/>
  <c r="IF4" i="6"/>
  <c r="IG4" i="6"/>
  <c r="IH4" i="6"/>
  <c r="II4" i="6"/>
  <c r="IJ4" i="6"/>
  <c r="IK4" i="6"/>
  <c r="IL4" i="6"/>
  <c r="IM4" i="6"/>
  <c r="IN4" i="6"/>
  <c r="IO4" i="6"/>
  <c r="IP4" i="6"/>
  <c r="IQ4" i="6"/>
  <c r="IR4" i="6"/>
  <c r="IS4" i="6"/>
  <c r="IT4" i="6"/>
  <c r="IU4" i="6"/>
  <c r="IV4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DX5" i="6"/>
  <c r="DY5" i="6"/>
  <c r="DZ5" i="6"/>
  <c r="EA5" i="6"/>
  <c r="EB5" i="6"/>
  <c r="EC5" i="6"/>
  <c r="ED5" i="6"/>
  <c r="EE5" i="6"/>
  <c r="EF5" i="6"/>
  <c r="EG5" i="6"/>
  <c r="EH5" i="6"/>
  <c r="EI5" i="6"/>
  <c r="EJ5" i="6"/>
  <c r="EK5" i="6"/>
  <c r="EL5" i="6"/>
  <c r="EM5" i="6"/>
  <c r="EN5" i="6"/>
  <c r="EO5" i="6"/>
  <c r="EP5" i="6"/>
  <c r="EQ5" i="6"/>
  <c r="ER5" i="6"/>
  <c r="ES5" i="6"/>
  <c r="ET5" i="6"/>
  <c r="EU5" i="6"/>
  <c r="EV5" i="6"/>
  <c r="EW5" i="6"/>
  <c r="EX5" i="6"/>
  <c r="EY5" i="6"/>
  <c r="EZ5" i="6"/>
  <c r="FA5" i="6"/>
  <c r="FB5" i="6"/>
  <c r="FC5" i="6"/>
  <c r="FD5" i="6"/>
  <c r="FE5" i="6"/>
  <c r="FF5" i="6"/>
  <c r="FG5" i="6"/>
  <c r="FH5" i="6"/>
  <c r="FI5" i="6"/>
  <c r="FJ5" i="6"/>
  <c r="FK5" i="6"/>
  <c r="FL5" i="6"/>
  <c r="FM5" i="6"/>
  <c r="FN5" i="6"/>
  <c r="FO5" i="6"/>
  <c r="FP5" i="6"/>
  <c r="FQ5" i="6"/>
  <c r="FR5" i="6"/>
  <c r="FS5" i="6"/>
  <c r="FT5" i="6"/>
  <c r="FU5" i="6"/>
  <c r="FV5" i="6"/>
  <c r="FW5" i="6"/>
  <c r="FX5" i="6"/>
  <c r="FY5" i="6"/>
  <c r="FZ5" i="6"/>
  <c r="GA5" i="6"/>
  <c r="GB5" i="6"/>
  <c r="GC5" i="6"/>
  <c r="GD5" i="6"/>
  <c r="GE5" i="6"/>
  <c r="GF5" i="6"/>
  <c r="GG5" i="6"/>
  <c r="GH5" i="6"/>
  <c r="GI5" i="6"/>
  <c r="GJ5" i="6"/>
  <c r="GK5" i="6"/>
  <c r="GL5" i="6"/>
  <c r="GM5" i="6"/>
  <c r="GN5" i="6"/>
  <c r="GO5" i="6"/>
  <c r="GP5" i="6"/>
  <c r="GQ5" i="6"/>
  <c r="GR5" i="6"/>
  <c r="GS5" i="6"/>
  <c r="GT5" i="6"/>
  <c r="GU5" i="6"/>
  <c r="GV5" i="6"/>
  <c r="GW5" i="6"/>
  <c r="GX5" i="6"/>
  <c r="GY5" i="6"/>
  <c r="GZ5" i="6"/>
  <c r="HA5" i="6"/>
  <c r="HB5" i="6"/>
  <c r="HC5" i="6"/>
  <c r="HD5" i="6"/>
  <c r="HE5" i="6"/>
  <c r="HF5" i="6"/>
  <c r="HG5" i="6"/>
  <c r="HH5" i="6"/>
  <c r="HI5" i="6"/>
  <c r="HJ5" i="6"/>
  <c r="HK5" i="6"/>
  <c r="HL5" i="6"/>
  <c r="HM5" i="6"/>
  <c r="HN5" i="6"/>
  <c r="HO5" i="6"/>
  <c r="HP5" i="6"/>
  <c r="HQ5" i="6"/>
  <c r="HR5" i="6"/>
  <c r="HS5" i="6"/>
  <c r="HT5" i="6"/>
  <c r="HU5" i="6"/>
  <c r="HV5" i="6"/>
  <c r="HW5" i="6"/>
  <c r="HX5" i="6"/>
  <c r="HY5" i="6"/>
  <c r="HZ5" i="6"/>
  <c r="IA5" i="6"/>
  <c r="IB5" i="6"/>
  <c r="IC5" i="6"/>
  <c r="ID5" i="6"/>
  <c r="IE5" i="6"/>
  <c r="IF5" i="6"/>
  <c r="IG5" i="6"/>
  <c r="IH5" i="6"/>
  <c r="II5" i="6"/>
  <c r="IJ5" i="6"/>
  <c r="IK5" i="6"/>
  <c r="IL5" i="6"/>
  <c r="IM5" i="6"/>
  <c r="IN5" i="6"/>
  <c r="IO5" i="6"/>
  <c r="IP5" i="6"/>
  <c r="IQ5" i="6"/>
  <c r="IR5" i="6"/>
  <c r="IS5" i="6"/>
  <c r="IT5" i="6"/>
  <c r="IU5" i="6"/>
  <c r="IV5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DX6" i="6"/>
  <c r="DY6" i="6"/>
  <c r="DZ6" i="6"/>
  <c r="EA6" i="6"/>
  <c r="EB6" i="6"/>
  <c r="EC6" i="6"/>
  <c r="ED6" i="6"/>
  <c r="EE6" i="6"/>
  <c r="EF6" i="6"/>
  <c r="EG6" i="6"/>
  <c r="EH6" i="6"/>
  <c r="EI6" i="6"/>
  <c r="EJ6" i="6"/>
  <c r="EK6" i="6"/>
  <c r="EL6" i="6"/>
  <c r="EM6" i="6"/>
  <c r="EN6" i="6"/>
  <c r="EO6" i="6"/>
  <c r="EP6" i="6"/>
  <c r="EQ6" i="6"/>
  <c r="ER6" i="6"/>
  <c r="ES6" i="6"/>
  <c r="ET6" i="6"/>
  <c r="EU6" i="6"/>
  <c r="EV6" i="6"/>
  <c r="EW6" i="6"/>
  <c r="EX6" i="6"/>
  <c r="EY6" i="6"/>
  <c r="EZ6" i="6"/>
  <c r="FA6" i="6"/>
  <c r="FB6" i="6"/>
  <c r="FC6" i="6"/>
  <c r="FD6" i="6"/>
  <c r="FE6" i="6"/>
  <c r="FF6" i="6"/>
  <c r="FG6" i="6"/>
  <c r="FH6" i="6"/>
  <c r="FI6" i="6"/>
  <c r="FJ6" i="6"/>
  <c r="FK6" i="6"/>
  <c r="FL6" i="6"/>
  <c r="FM6" i="6"/>
  <c r="FN6" i="6"/>
  <c r="FO6" i="6"/>
  <c r="FP6" i="6"/>
  <c r="FQ6" i="6"/>
  <c r="FR6" i="6"/>
  <c r="FS6" i="6"/>
  <c r="FT6" i="6"/>
  <c r="FU6" i="6"/>
  <c r="FV6" i="6"/>
  <c r="FW6" i="6"/>
  <c r="FX6" i="6"/>
  <c r="FY6" i="6"/>
  <c r="FZ6" i="6"/>
  <c r="GA6" i="6"/>
  <c r="GB6" i="6"/>
  <c r="GC6" i="6"/>
  <c r="GD6" i="6"/>
  <c r="GE6" i="6"/>
  <c r="GF6" i="6"/>
  <c r="GG6" i="6"/>
  <c r="GH6" i="6"/>
  <c r="GI6" i="6"/>
  <c r="GJ6" i="6"/>
  <c r="GK6" i="6"/>
  <c r="GL6" i="6"/>
  <c r="GM6" i="6"/>
  <c r="GN6" i="6"/>
  <c r="GO6" i="6"/>
  <c r="GP6" i="6"/>
  <c r="GQ6" i="6"/>
  <c r="GR6" i="6"/>
  <c r="GS6" i="6"/>
  <c r="GT6" i="6"/>
  <c r="GU6" i="6"/>
  <c r="GV6" i="6"/>
  <c r="GW6" i="6"/>
  <c r="GX6" i="6"/>
  <c r="GY6" i="6"/>
  <c r="GZ6" i="6"/>
  <c r="HA6" i="6"/>
  <c r="HB6" i="6"/>
  <c r="HC6" i="6"/>
  <c r="HD6" i="6"/>
  <c r="HE6" i="6"/>
  <c r="HF6" i="6"/>
  <c r="HG6" i="6"/>
  <c r="HH6" i="6"/>
  <c r="HI6" i="6"/>
  <c r="HJ6" i="6"/>
  <c r="HK6" i="6"/>
  <c r="HL6" i="6"/>
  <c r="HM6" i="6"/>
  <c r="HN6" i="6"/>
  <c r="HO6" i="6"/>
  <c r="HP6" i="6"/>
  <c r="HQ6" i="6"/>
  <c r="HR6" i="6"/>
  <c r="HS6" i="6"/>
  <c r="HT6" i="6"/>
  <c r="HU6" i="6"/>
  <c r="HV6" i="6"/>
  <c r="HW6" i="6"/>
  <c r="HX6" i="6"/>
  <c r="HY6" i="6"/>
  <c r="HZ6" i="6"/>
  <c r="IA6" i="6"/>
  <c r="IB6" i="6"/>
  <c r="IC6" i="6"/>
  <c r="ID6" i="6"/>
  <c r="IE6" i="6"/>
  <c r="IF6" i="6"/>
  <c r="IG6" i="6"/>
  <c r="IH6" i="6"/>
  <c r="II6" i="6"/>
  <c r="IJ6" i="6"/>
  <c r="IK6" i="6"/>
  <c r="IL6" i="6"/>
  <c r="IM6" i="6"/>
  <c r="IN6" i="6"/>
  <c r="IO6" i="6"/>
  <c r="IP6" i="6"/>
  <c r="IQ6" i="6"/>
  <c r="IR6" i="6"/>
  <c r="IS6" i="6"/>
  <c r="IT6" i="6"/>
  <c r="IU6" i="6"/>
  <c r="IV6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DX7" i="6"/>
  <c r="DY7" i="6"/>
  <c r="DZ7" i="6"/>
  <c r="EA7" i="6"/>
  <c r="EB7" i="6"/>
  <c r="EC7" i="6"/>
  <c r="ED7" i="6"/>
  <c r="EE7" i="6"/>
  <c r="EF7" i="6"/>
  <c r="EG7" i="6"/>
  <c r="EH7" i="6"/>
  <c r="EI7" i="6"/>
  <c r="EJ7" i="6"/>
  <c r="EK7" i="6"/>
  <c r="EL7" i="6"/>
  <c r="EM7" i="6"/>
  <c r="EN7" i="6"/>
  <c r="EO7" i="6"/>
  <c r="EP7" i="6"/>
  <c r="EQ7" i="6"/>
  <c r="ER7" i="6"/>
  <c r="ES7" i="6"/>
  <c r="ET7" i="6"/>
  <c r="EU7" i="6"/>
  <c r="EV7" i="6"/>
  <c r="EW7" i="6"/>
  <c r="EX7" i="6"/>
  <c r="EY7" i="6"/>
  <c r="EZ7" i="6"/>
  <c r="FA7" i="6"/>
  <c r="FB7" i="6"/>
  <c r="FC7" i="6"/>
  <c r="FD7" i="6"/>
  <c r="FE7" i="6"/>
  <c r="FF7" i="6"/>
  <c r="FG7" i="6"/>
  <c r="FH7" i="6"/>
  <c r="FI7" i="6"/>
  <c r="FJ7" i="6"/>
  <c r="FK7" i="6"/>
  <c r="FL7" i="6"/>
  <c r="FM7" i="6"/>
  <c r="FN7" i="6"/>
  <c r="FO7" i="6"/>
  <c r="FP7" i="6"/>
  <c r="FQ7" i="6"/>
  <c r="FR7" i="6"/>
  <c r="FS7" i="6"/>
  <c r="FT7" i="6"/>
  <c r="FU7" i="6"/>
  <c r="FV7" i="6"/>
  <c r="FW7" i="6"/>
  <c r="FX7" i="6"/>
  <c r="FY7" i="6"/>
  <c r="FZ7" i="6"/>
  <c r="GA7" i="6"/>
  <c r="GB7" i="6"/>
  <c r="GC7" i="6"/>
  <c r="GD7" i="6"/>
  <c r="GE7" i="6"/>
  <c r="GF7" i="6"/>
  <c r="GG7" i="6"/>
  <c r="GH7" i="6"/>
  <c r="GI7" i="6"/>
  <c r="GJ7" i="6"/>
  <c r="GK7" i="6"/>
  <c r="GL7" i="6"/>
  <c r="GM7" i="6"/>
  <c r="GN7" i="6"/>
  <c r="GO7" i="6"/>
  <c r="GP7" i="6"/>
  <c r="GQ7" i="6"/>
  <c r="GR7" i="6"/>
  <c r="GS7" i="6"/>
  <c r="GT7" i="6"/>
  <c r="GU7" i="6"/>
  <c r="GV7" i="6"/>
  <c r="GW7" i="6"/>
  <c r="GX7" i="6"/>
  <c r="GY7" i="6"/>
  <c r="GZ7" i="6"/>
  <c r="HA7" i="6"/>
  <c r="HB7" i="6"/>
  <c r="HC7" i="6"/>
  <c r="HD7" i="6"/>
  <c r="HE7" i="6"/>
  <c r="HF7" i="6"/>
  <c r="HG7" i="6"/>
  <c r="HH7" i="6"/>
  <c r="HI7" i="6"/>
  <c r="HJ7" i="6"/>
  <c r="HK7" i="6"/>
  <c r="HL7" i="6"/>
  <c r="HM7" i="6"/>
  <c r="HN7" i="6"/>
  <c r="HO7" i="6"/>
  <c r="HP7" i="6"/>
  <c r="HQ7" i="6"/>
  <c r="HR7" i="6"/>
  <c r="HS7" i="6"/>
  <c r="HT7" i="6"/>
  <c r="HU7" i="6"/>
  <c r="HV7" i="6"/>
  <c r="HW7" i="6"/>
  <c r="HX7" i="6"/>
  <c r="HY7" i="6"/>
  <c r="HZ7" i="6"/>
  <c r="IA7" i="6"/>
  <c r="IB7" i="6"/>
  <c r="IC7" i="6"/>
  <c r="ID7" i="6"/>
  <c r="IE7" i="6"/>
  <c r="IF7" i="6"/>
  <c r="IG7" i="6"/>
  <c r="IH7" i="6"/>
  <c r="II7" i="6"/>
  <c r="IJ7" i="6"/>
  <c r="IK7" i="6"/>
  <c r="IL7" i="6"/>
  <c r="IM7" i="6"/>
  <c r="IN7" i="6"/>
  <c r="IO7" i="6"/>
  <c r="IP7" i="6"/>
  <c r="IQ7" i="6"/>
  <c r="IR7" i="6"/>
  <c r="IS7" i="6"/>
  <c r="IT7" i="6"/>
  <c r="IU7" i="6"/>
  <c r="IV7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EA8" i="6"/>
  <c r="EB8" i="6"/>
  <c r="EC8" i="6"/>
  <c r="ED8" i="6"/>
  <c r="EE8" i="6"/>
  <c r="EF8" i="6"/>
  <c r="EG8" i="6"/>
  <c r="EH8" i="6"/>
  <c r="EI8" i="6"/>
  <c r="EJ8" i="6"/>
  <c r="EK8" i="6"/>
  <c r="EL8" i="6"/>
  <c r="EM8" i="6"/>
  <c r="EN8" i="6"/>
  <c r="EO8" i="6"/>
  <c r="EP8" i="6"/>
  <c r="EQ8" i="6"/>
  <c r="ER8" i="6"/>
  <c r="ES8" i="6"/>
  <c r="ET8" i="6"/>
  <c r="EU8" i="6"/>
  <c r="EV8" i="6"/>
  <c r="EW8" i="6"/>
  <c r="EX8" i="6"/>
  <c r="EY8" i="6"/>
  <c r="EZ8" i="6"/>
  <c r="FA8" i="6"/>
  <c r="FB8" i="6"/>
  <c r="FC8" i="6"/>
  <c r="FD8" i="6"/>
  <c r="FE8" i="6"/>
  <c r="FF8" i="6"/>
  <c r="FG8" i="6"/>
  <c r="FH8" i="6"/>
  <c r="FI8" i="6"/>
  <c r="FJ8" i="6"/>
  <c r="FK8" i="6"/>
  <c r="FL8" i="6"/>
  <c r="FM8" i="6"/>
  <c r="FN8" i="6"/>
  <c r="FO8" i="6"/>
  <c r="FP8" i="6"/>
  <c r="FQ8" i="6"/>
  <c r="FR8" i="6"/>
  <c r="FS8" i="6"/>
  <c r="FT8" i="6"/>
  <c r="FU8" i="6"/>
  <c r="FV8" i="6"/>
  <c r="FW8" i="6"/>
  <c r="FX8" i="6"/>
  <c r="FY8" i="6"/>
  <c r="FZ8" i="6"/>
  <c r="GA8" i="6"/>
  <c r="GB8" i="6"/>
  <c r="GC8" i="6"/>
  <c r="GD8" i="6"/>
  <c r="GE8" i="6"/>
  <c r="GF8" i="6"/>
  <c r="GG8" i="6"/>
  <c r="GH8" i="6"/>
  <c r="GI8" i="6"/>
  <c r="GJ8" i="6"/>
  <c r="GK8" i="6"/>
  <c r="GL8" i="6"/>
  <c r="GM8" i="6"/>
  <c r="GN8" i="6"/>
  <c r="GO8" i="6"/>
  <c r="GP8" i="6"/>
  <c r="GQ8" i="6"/>
  <c r="GR8" i="6"/>
  <c r="GS8" i="6"/>
  <c r="GT8" i="6"/>
  <c r="GU8" i="6"/>
  <c r="GV8" i="6"/>
  <c r="GW8" i="6"/>
  <c r="GX8" i="6"/>
  <c r="GY8" i="6"/>
  <c r="GZ8" i="6"/>
  <c r="HA8" i="6"/>
  <c r="HB8" i="6"/>
  <c r="HC8" i="6"/>
  <c r="HD8" i="6"/>
  <c r="HE8" i="6"/>
  <c r="HF8" i="6"/>
  <c r="HG8" i="6"/>
  <c r="HH8" i="6"/>
  <c r="HI8" i="6"/>
  <c r="HJ8" i="6"/>
  <c r="HK8" i="6"/>
  <c r="HL8" i="6"/>
  <c r="HM8" i="6"/>
  <c r="HN8" i="6"/>
  <c r="HO8" i="6"/>
  <c r="HP8" i="6"/>
  <c r="HQ8" i="6"/>
  <c r="HR8" i="6"/>
  <c r="HS8" i="6"/>
  <c r="HT8" i="6"/>
  <c r="HU8" i="6"/>
  <c r="HV8" i="6"/>
  <c r="HW8" i="6"/>
  <c r="HX8" i="6"/>
  <c r="HY8" i="6"/>
  <c r="HZ8" i="6"/>
  <c r="IA8" i="6"/>
  <c r="IB8" i="6"/>
  <c r="IC8" i="6"/>
  <c r="ID8" i="6"/>
  <c r="IE8" i="6"/>
  <c r="IF8" i="6"/>
  <c r="IG8" i="6"/>
  <c r="IH8" i="6"/>
  <c r="II8" i="6"/>
  <c r="IJ8" i="6"/>
  <c r="IK8" i="6"/>
  <c r="IL8" i="6"/>
  <c r="IM8" i="6"/>
  <c r="IN8" i="6"/>
  <c r="IO8" i="6"/>
  <c r="IP8" i="6"/>
  <c r="IQ8" i="6"/>
  <c r="IR8" i="6"/>
  <c r="IS8" i="6"/>
  <c r="IT8" i="6"/>
  <c r="IU8" i="6"/>
  <c r="IV8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DX9" i="6"/>
  <c r="DY9" i="6"/>
  <c r="DZ9" i="6"/>
  <c r="EA9" i="6"/>
  <c r="EB9" i="6"/>
  <c r="EC9" i="6"/>
  <c r="ED9" i="6"/>
  <c r="EE9" i="6"/>
  <c r="EF9" i="6"/>
  <c r="EG9" i="6"/>
  <c r="EH9" i="6"/>
  <c r="EI9" i="6"/>
  <c r="EJ9" i="6"/>
  <c r="EK9" i="6"/>
  <c r="EL9" i="6"/>
  <c r="EM9" i="6"/>
  <c r="EN9" i="6"/>
  <c r="EO9" i="6"/>
  <c r="EP9" i="6"/>
  <c r="EQ9" i="6"/>
  <c r="ER9" i="6"/>
  <c r="ES9" i="6"/>
  <c r="ET9" i="6"/>
  <c r="EU9" i="6"/>
  <c r="EV9" i="6"/>
  <c r="EW9" i="6"/>
  <c r="EX9" i="6"/>
  <c r="EY9" i="6"/>
  <c r="EZ9" i="6"/>
  <c r="FA9" i="6"/>
  <c r="FB9" i="6"/>
  <c r="FC9" i="6"/>
  <c r="FD9" i="6"/>
  <c r="FE9" i="6"/>
  <c r="FF9" i="6"/>
  <c r="FG9" i="6"/>
  <c r="FH9" i="6"/>
  <c r="FI9" i="6"/>
  <c r="FJ9" i="6"/>
  <c r="FK9" i="6"/>
  <c r="FL9" i="6"/>
  <c r="FM9" i="6"/>
  <c r="FN9" i="6"/>
  <c r="FO9" i="6"/>
  <c r="FP9" i="6"/>
  <c r="FQ9" i="6"/>
  <c r="FR9" i="6"/>
  <c r="FS9" i="6"/>
  <c r="FT9" i="6"/>
  <c r="FU9" i="6"/>
  <c r="FV9" i="6"/>
  <c r="FW9" i="6"/>
  <c r="FX9" i="6"/>
  <c r="FY9" i="6"/>
  <c r="FZ9" i="6"/>
  <c r="GA9" i="6"/>
  <c r="GB9" i="6"/>
  <c r="GC9" i="6"/>
  <c r="GD9" i="6"/>
  <c r="GE9" i="6"/>
  <c r="GF9" i="6"/>
  <c r="GG9" i="6"/>
  <c r="GH9" i="6"/>
  <c r="GI9" i="6"/>
  <c r="GJ9" i="6"/>
  <c r="GK9" i="6"/>
  <c r="GL9" i="6"/>
  <c r="GM9" i="6"/>
  <c r="GN9" i="6"/>
  <c r="GO9" i="6"/>
  <c r="GP9" i="6"/>
  <c r="GQ9" i="6"/>
  <c r="GR9" i="6"/>
  <c r="GS9" i="6"/>
  <c r="GT9" i="6"/>
  <c r="GU9" i="6"/>
  <c r="GV9" i="6"/>
  <c r="GW9" i="6"/>
  <c r="GX9" i="6"/>
  <c r="GY9" i="6"/>
  <c r="GZ9" i="6"/>
  <c r="HA9" i="6"/>
  <c r="HB9" i="6"/>
  <c r="HC9" i="6"/>
  <c r="HD9" i="6"/>
  <c r="HE9" i="6"/>
  <c r="HF9" i="6"/>
  <c r="HG9" i="6"/>
  <c r="HH9" i="6"/>
  <c r="HI9" i="6"/>
  <c r="HJ9" i="6"/>
  <c r="HK9" i="6"/>
  <c r="HL9" i="6"/>
  <c r="HM9" i="6"/>
  <c r="HN9" i="6"/>
  <c r="HO9" i="6"/>
  <c r="HP9" i="6"/>
  <c r="HQ9" i="6"/>
  <c r="HR9" i="6"/>
  <c r="HS9" i="6"/>
  <c r="HT9" i="6"/>
  <c r="HU9" i="6"/>
  <c r="HV9" i="6"/>
  <c r="HW9" i="6"/>
  <c r="HX9" i="6"/>
  <c r="HY9" i="6"/>
  <c r="HZ9" i="6"/>
  <c r="IA9" i="6"/>
  <c r="IB9" i="6"/>
  <c r="IC9" i="6"/>
  <c r="ID9" i="6"/>
  <c r="IE9" i="6"/>
  <c r="IF9" i="6"/>
  <c r="IG9" i="6"/>
  <c r="IH9" i="6"/>
  <c r="II9" i="6"/>
  <c r="IJ9" i="6"/>
  <c r="IK9" i="6"/>
  <c r="IL9" i="6"/>
  <c r="IM9" i="6"/>
  <c r="IN9" i="6"/>
  <c r="IO9" i="6"/>
  <c r="IP9" i="6"/>
  <c r="IQ9" i="6"/>
  <c r="IR9" i="6"/>
  <c r="IS9" i="6"/>
  <c r="IT9" i="6"/>
  <c r="IU9" i="6"/>
  <c r="IV9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DX10" i="6"/>
  <c r="DY10" i="6"/>
  <c r="DZ10" i="6"/>
  <c r="EA10" i="6"/>
  <c r="EB10" i="6"/>
  <c r="EC10" i="6"/>
  <c r="ED10" i="6"/>
  <c r="EE10" i="6"/>
  <c r="EF10" i="6"/>
  <c r="EG10" i="6"/>
  <c r="EH10" i="6"/>
  <c r="EI10" i="6"/>
  <c r="EJ10" i="6"/>
  <c r="EK10" i="6"/>
  <c r="EL10" i="6"/>
  <c r="EM10" i="6"/>
  <c r="EN10" i="6"/>
  <c r="EO10" i="6"/>
  <c r="EP10" i="6"/>
  <c r="EQ10" i="6"/>
  <c r="ER10" i="6"/>
  <c r="ES10" i="6"/>
  <c r="ET10" i="6"/>
  <c r="EU10" i="6"/>
  <c r="EV10" i="6"/>
  <c r="EW10" i="6"/>
  <c r="EX10" i="6"/>
  <c r="EY10" i="6"/>
  <c r="EZ10" i="6"/>
  <c r="FA10" i="6"/>
  <c r="FB10" i="6"/>
  <c r="FC10" i="6"/>
  <c r="FD10" i="6"/>
  <c r="FE10" i="6"/>
  <c r="FF10" i="6"/>
  <c r="FG10" i="6"/>
  <c r="FH10" i="6"/>
  <c r="FI10" i="6"/>
  <c r="FJ10" i="6"/>
  <c r="FK10" i="6"/>
  <c r="FL10" i="6"/>
  <c r="FM10" i="6"/>
  <c r="FN10" i="6"/>
  <c r="FO10" i="6"/>
  <c r="FP10" i="6"/>
  <c r="FQ10" i="6"/>
  <c r="FR10" i="6"/>
  <c r="FS10" i="6"/>
  <c r="FT10" i="6"/>
  <c r="FU10" i="6"/>
  <c r="FV10" i="6"/>
  <c r="FW10" i="6"/>
  <c r="FX10" i="6"/>
  <c r="FY10" i="6"/>
  <c r="FZ10" i="6"/>
  <c r="GA10" i="6"/>
  <c r="GB10" i="6"/>
  <c r="GC10" i="6"/>
  <c r="GD10" i="6"/>
  <c r="GE10" i="6"/>
  <c r="GF10" i="6"/>
  <c r="GG10" i="6"/>
  <c r="GH10" i="6"/>
  <c r="GI10" i="6"/>
  <c r="GJ10" i="6"/>
  <c r="GK10" i="6"/>
  <c r="GL10" i="6"/>
  <c r="GM10" i="6"/>
  <c r="GN10" i="6"/>
  <c r="GO10" i="6"/>
  <c r="GP10" i="6"/>
  <c r="GQ10" i="6"/>
  <c r="GR10" i="6"/>
  <c r="GS10" i="6"/>
  <c r="GT10" i="6"/>
  <c r="GU10" i="6"/>
  <c r="GV10" i="6"/>
  <c r="GW10" i="6"/>
  <c r="GX10" i="6"/>
  <c r="GY10" i="6"/>
  <c r="GZ10" i="6"/>
  <c r="HA10" i="6"/>
  <c r="HB10" i="6"/>
  <c r="HC10" i="6"/>
  <c r="HD10" i="6"/>
  <c r="HE10" i="6"/>
  <c r="HF10" i="6"/>
  <c r="HG10" i="6"/>
  <c r="HH10" i="6"/>
  <c r="HI10" i="6"/>
  <c r="HJ10" i="6"/>
  <c r="HK10" i="6"/>
  <c r="HL10" i="6"/>
  <c r="HM10" i="6"/>
  <c r="HN10" i="6"/>
  <c r="HO10" i="6"/>
  <c r="HP10" i="6"/>
  <c r="HQ10" i="6"/>
  <c r="HR10" i="6"/>
  <c r="HS10" i="6"/>
  <c r="HT10" i="6"/>
  <c r="HU10" i="6"/>
  <c r="HV10" i="6"/>
  <c r="HW10" i="6"/>
  <c r="HX10" i="6"/>
  <c r="HY10" i="6"/>
  <c r="HZ10" i="6"/>
  <c r="IA10" i="6"/>
  <c r="IB10" i="6"/>
  <c r="IC10" i="6"/>
  <c r="ID10" i="6"/>
  <c r="IE10" i="6"/>
  <c r="IF10" i="6"/>
  <c r="IG10" i="6"/>
  <c r="IH10" i="6"/>
  <c r="II10" i="6"/>
  <c r="IJ10" i="6"/>
  <c r="IK10" i="6"/>
  <c r="IL10" i="6"/>
  <c r="IM10" i="6"/>
  <c r="IN10" i="6"/>
  <c r="IO10" i="6"/>
  <c r="IP10" i="6"/>
  <c r="IQ10" i="6"/>
  <c r="IR10" i="6"/>
  <c r="IS10" i="6"/>
  <c r="IT10" i="6"/>
  <c r="IU10" i="6"/>
  <c r="IV10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DA1" i="6"/>
  <c r="DB1" i="6"/>
  <c r="DC1" i="6"/>
  <c r="DD1" i="6"/>
  <c r="DE1" i="6"/>
  <c r="DF1" i="6"/>
  <c r="DG1" i="6"/>
  <c r="DH1" i="6"/>
  <c r="DI1" i="6"/>
  <c r="DJ1" i="6"/>
  <c r="DK1" i="6"/>
  <c r="DL1" i="6"/>
  <c r="DM1" i="6"/>
  <c r="DN1" i="6"/>
  <c r="DO1" i="6"/>
  <c r="DP1" i="6"/>
  <c r="DQ1" i="6"/>
  <c r="DR1" i="6"/>
  <c r="DS1" i="6"/>
  <c r="DT1" i="6"/>
  <c r="DU1" i="6"/>
  <c r="DV1" i="6"/>
  <c r="DW1" i="6"/>
  <c r="DX1" i="6"/>
  <c r="DY1" i="6"/>
  <c r="DZ1" i="6"/>
  <c r="EA1" i="6"/>
  <c r="EB1" i="6"/>
  <c r="EC1" i="6"/>
  <c r="ED1" i="6"/>
  <c r="EE1" i="6"/>
  <c r="EF1" i="6"/>
  <c r="EG1" i="6"/>
  <c r="EH1" i="6"/>
  <c r="EI1" i="6"/>
  <c r="EJ1" i="6"/>
  <c r="EK1" i="6"/>
  <c r="EL1" i="6"/>
  <c r="EM1" i="6"/>
  <c r="EN1" i="6"/>
  <c r="EO1" i="6"/>
  <c r="EP1" i="6"/>
  <c r="EQ1" i="6"/>
  <c r="ER1" i="6"/>
  <c r="ES1" i="6"/>
  <c r="ET1" i="6"/>
  <c r="EU1" i="6"/>
  <c r="EV1" i="6"/>
  <c r="EW1" i="6"/>
  <c r="EX1" i="6"/>
  <c r="EY1" i="6"/>
  <c r="EZ1" i="6"/>
  <c r="FA1" i="6"/>
  <c r="FB1" i="6"/>
  <c r="FC1" i="6"/>
  <c r="FD1" i="6"/>
  <c r="FE1" i="6"/>
  <c r="FF1" i="6"/>
  <c r="FG1" i="6"/>
  <c r="FH1" i="6"/>
  <c r="FI1" i="6"/>
  <c r="FJ1" i="6"/>
  <c r="FK1" i="6"/>
  <c r="FL1" i="6"/>
  <c r="FM1" i="6"/>
  <c r="FN1" i="6"/>
  <c r="FO1" i="6"/>
  <c r="FP1" i="6"/>
  <c r="FQ1" i="6"/>
  <c r="FR1" i="6"/>
  <c r="FS1" i="6"/>
  <c r="FT1" i="6"/>
  <c r="FU1" i="6"/>
  <c r="FV1" i="6"/>
  <c r="FW1" i="6"/>
  <c r="FX1" i="6"/>
  <c r="FY1" i="6"/>
  <c r="FZ1" i="6"/>
  <c r="GA1" i="6"/>
  <c r="GB1" i="6"/>
  <c r="GC1" i="6"/>
  <c r="GD1" i="6"/>
  <c r="GE1" i="6"/>
  <c r="GF1" i="6"/>
  <c r="GG1" i="6"/>
  <c r="GH1" i="6"/>
  <c r="GI1" i="6"/>
  <c r="GJ1" i="6"/>
  <c r="GK1" i="6"/>
  <c r="GL1" i="6"/>
  <c r="GM1" i="6"/>
  <c r="GN1" i="6"/>
  <c r="GO1" i="6"/>
  <c r="GP1" i="6"/>
  <c r="GQ1" i="6"/>
  <c r="GR1" i="6"/>
  <c r="GS1" i="6"/>
  <c r="GT1" i="6"/>
  <c r="GU1" i="6"/>
  <c r="GV1" i="6"/>
  <c r="GW1" i="6"/>
  <c r="GX1" i="6"/>
  <c r="GY1" i="6"/>
  <c r="GZ1" i="6"/>
  <c r="HA1" i="6"/>
  <c r="HB1" i="6"/>
  <c r="HC1" i="6"/>
  <c r="HD1" i="6"/>
  <c r="HE1" i="6"/>
  <c r="HF1" i="6"/>
  <c r="HG1" i="6"/>
  <c r="HH1" i="6"/>
  <c r="HI1" i="6"/>
  <c r="HJ1" i="6"/>
  <c r="HK1" i="6"/>
  <c r="HL1" i="6"/>
  <c r="HM1" i="6"/>
  <c r="HN1" i="6"/>
  <c r="HO1" i="6"/>
  <c r="HP1" i="6"/>
  <c r="HQ1" i="6"/>
  <c r="HR1" i="6"/>
  <c r="HS1" i="6"/>
  <c r="HT1" i="6"/>
  <c r="HU1" i="6"/>
  <c r="HV1" i="6"/>
  <c r="HW1" i="6"/>
  <c r="HX1" i="6"/>
  <c r="HY1" i="6"/>
  <c r="HZ1" i="6"/>
  <c r="IA1" i="6"/>
  <c r="IB1" i="6"/>
  <c r="IC1" i="6"/>
  <c r="ID1" i="6"/>
  <c r="IE1" i="6"/>
  <c r="IF1" i="6"/>
  <c r="IG1" i="6"/>
  <c r="IH1" i="6"/>
  <c r="II1" i="6"/>
  <c r="IJ1" i="6"/>
  <c r="IK1" i="6"/>
  <c r="IL1" i="6"/>
  <c r="IM1" i="6"/>
  <c r="IN1" i="6"/>
  <c r="IO1" i="6"/>
  <c r="IP1" i="6"/>
  <c r="IQ1" i="6"/>
  <c r="IR1" i="6"/>
  <c r="IS1" i="6"/>
  <c r="IT1" i="6"/>
  <c r="IU1" i="6"/>
  <c r="IV1" i="6"/>
  <c r="BN2" i="6"/>
</calcChain>
</file>

<file path=xl/sharedStrings.xml><?xml version="1.0" encoding="utf-8"?>
<sst xmlns="http://schemas.openxmlformats.org/spreadsheetml/2006/main" count="28" uniqueCount="17">
  <si>
    <t>supply</t>
  </si>
  <si>
    <t>D%$&amp;01_af228187231e4566b59924bd089d7ee5</t>
  </si>
  <si>
    <t>Mc Donagh, Mark_11328__Windows (32-bit) NT 10.00_MMCDONAG-MOBL1_mmcdonag$$$10122019</t>
  </si>
  <si>
    <t>"$&gt;\f!2554"</t>
  </si>
  <si>
    <t>PHY</t>
  </si>
  <si>
    <t>TBT</t>
  </si>
  <si>
    <t>PSFELM</t>
  </si>
  <si>
    <t>IOM</t>
  </si>
  <si>
    <t>PCIE</t>
  </si>
  <si>
    <t>PREHVQK Y Intercept</t>
  </si>
  <si>
    <t>PREHVQK Slope</t>
  </si>
  <si>
    <t>CSE Y Intercept</t>
  </si>
  <si>
    <t>CSE Slope</t>
  </si>
  <si>
    <t>USB</t>
  </si>
  <si>
    <t>Kill_Cutline</t>
  </si>
  <si>
    <t>VMIN_Sigma8</t>
  </si>
  <si>
    <t>Kill_Cutline_CSE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</si>
</sst>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4" fillId="4" borderId="0" applyNumberFormat="0" applyBorder="0" applyAlignment="0" applyProtection="0"/>
    <xf numFmtId="0" fontId="3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4" fillId="0" borderId="0" xfId="2" applyFill="1"/>
    <xf numFmtId="11" fontId="5" fillId="0" borderId="0" xfId="0" applyNumberFormat="1" applyFont="1"/>
    <xf numFmtId="0" fontId="5" fillId="0" borderId="0" xfId="0" applyFont="1"/>
  </cellXfs>
  <cellStyles count="4">
    <cellStyle name="Good" xfId="2" builtinId="26"/>
    <cellStyle name="Normal" xfId="0" builtinId="0"/>
    <cellStyle name="Normal 2" xfId="1" xr:uid="{00000000-0005-0000-0000-000002000000}"/>
    <cellStyle name="Normal 204 2 2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0</xdr:row>
          <xdr:rowOff>47625</xdr:rowOff>
        </xdr:from>
        <xdr:to>
          <xdr:col>1</xdr:col>
          <xdr:colOff>3752850</xdr:colOff>
          <xdr:row>0</xdr:row>
          <xdr:rowOff>676275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ADL Scan TCSS ADTL xml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zoomScale="115" zoomScaleNormal="115" workbookViewId="0">
      <selection activeCell="B11" sqref="B11"/>
    </sheetView>
  </sheetViews>
  <sheetFormatPr defaultRowHeight="15" x14ac:dyDescent="0.25"/>
  <cols>
    <col min="1" max="1" width="23.28515625" bestFit="1" customWidth="1"/>
    <col min="2" max="2" width="59.5703125" bestFit="1" customWidth="1"/>
    <col min="3" max="3" width="10.42578125" customWidth="1"/>
    <col min="4" max="4" width="75.85546875" bestFit="1" customWidth="1"/>
    <col min="5" max="5" width="23.85546875" bestFit="1" customWidth="1"/>
    <col min="7" max="7" width="13.42578125" bestFit="1" customWidth="1"/>
    <col min="8" max="8" width="57.5703125" bestFit="1" customWidth="1"/>
    <col min="9" max="9" width="74.140625" bestFit="1" customWidth="1"/>
    <col min="11" max="11" width="23" bestFit="1" customWidth="1"/>
  </cols>
  <sheetData>
    <row r="1" spans="1:8" s="1" customFormat="1" ht="80.25" customHeight="1" x14ac:dyDescent="0.25">
      <c r="A1" s="2"/>
      <c r="B1" s="2" t="s">
        <v>0</v>
      </c>
      <c r="C1" s="2" t="s">
        <v>9</v>
      </c>
      <c r="D1" s="2" t="s">
        <v>10</v>
      </c>
      <c r="E1" s="2" t="s">
        <v>11</v>
      </c>
      <c r="F1" s="2" t="s">
        <v>12</v>
      </c>
      <c r="G1" s="3" t="s">
        <v>14</v>
      </c>
      <c r="H1" s="3" t="s">
        <v>16</v>
      </c>
    </row>
    <row r="2" spans="1:8" x14ac:dyDescent="0.25">
      <c r="A2" s="4"/>
      <c r="B2" t="s">
        <v>4</v>
      </c>
      <c r="C2" s="6">
        <v>1.33423077</v>
      </c>
      <c r="D2" s="5">
        <v>-3.2400000000000001E-5</v>
      </c>
      <c r="E2" s="6">
        <v>1.13538462</v>
      </c>
      <c r="F2" s="5">
        <v>-1.6500000000000001E-5</v>
      </c>
      <c r="G2" s="4" t="s">
        <v>15</v>
      </c>
      <c r="H2" s="4" t="s">
        <v>15</v>
      </c>
    </row>
    <row r="3" spans="1:8" x14ac:dyDescent="0.25">
      <c r="A3" s="4"/>
      <c r="B3" t="s">
        <v>5</v>
      </c>
      <c r="C3" s="6">
        <v>1.48445238</v>
      </c>
      <c r="D3" s="5">
        <v>-4.21E-5</v>
      </c>
      <c r="E3" s="6">
        <v>1.5374285700000001</v>
      </c>
      <c r="F3" s="5">
        <v>-4.57E-5</v>
      </c>
      <c r="G3" s="4" t="s">
        <v>15</v>
      </c>
      <c r="H3" s="4" t="s">
        <v>15</v>
      </c>
    </row>
    <row r="4" spans="1:8" x14ac:dyDescent="0.25">
      <c r="A4" s="4"/>
      <c r="B4" t="s">
        <v>6</v>
      </c>
      <c r="C4" s="6">
        <v>1.2354285700000001</v>
      </c>
      <c r="D4" s="5">
        <v>-2.5700000000000001E-5</v>
      </c>
      <c r="E4" s="6">
        <v>1.2258333299999999</v>
      </c>
      <c r="F4" s="6">
        <v>-2.5000000000000001E-5</v>
      </c>
      <c r="G4" s="4" t="s">
        <v>15</v>
      </c>
      <c r="H4" s="4" t="s">
        <v>15</v>
      </c>
    </row>
    <row r="5" spans="1:8" x14ac:dyDescent="0.25">
      <c r="B5" t="s">
        <v>7</v>
      </c>
      <c r="C5" s="6">
        <v>1.17704762</v>
      </c>
      <c r="D5" s="5">
        <v>-2.2900000000000001E-5</v>
      </c>
      <c r="E5" s="6">
        <v>1.2058333299999999</v>
      </c>
      <c r="F5" s="6">
        <v>-2.5000000000000001E-5</v>
      </c>
      <c r="G5" s="4" t="s">
        <v>15</v>
      </c>
      <c r="H5" s="4" t="s">
        <v>15</v>
      </c>
    </row>
    <row r="6" spans="1:8" x14ac:dyDescent="0.25">
      <c r="B6" t="s">
        <v>13</v>
      </c>
      <c r="C6" s="6">
        <v>1.46445238</v>
      </c>
      <c r="D6" s="5">
        <v>-4.21E-5</v>
      </c>
      <c r="E6" s="6">
        <v>1.46445238</v>
      </c>
      <c r="F6" s="5">
        <v>-4.21E-5</v>
      </c>
      <c r="G6" s="4" t="s">
        <v>15</v>
      </c>
      <c r="H6" s="4" t="s">
        <v>15</v>
      </c>
    </row>
    <row r="7" spans="1:8" x14ac:dyDescent="0.25">
      <c r="B7" t="s">
        <v>8</v>
      </c>
      <c r="C7" s="6">
        <v>1.21542857</v>
      </c>
      <c r="D7" s="5">
        <v>-2.5700000000000001E-5</v>
      </c>
      <c r="E7" s="6">
        <v>1.21542857</v>
      </c>
      <c r="F7" s="5">
        <v>-2.5700000000000001E-5</v>
      </c>
      <c r="G7" s="4" t="s">
        <v>15</v>
      </c>
      <c r="H7" s="4" t="s">
        <v>15</v>
      </c>
    </row>
    <row r="11" spans="1:8" x14ac:dyDescent="0.25">
      <c r="B11" s="6"/>
      <c r="C11" s="5"/>
      <c r="D11" s="6"/>
    </row>
    <row r="12" spans="1:8" x14ac:dyDescent="0.25">
      <c r="B12" s="6"/>
      <c r="C12" s="5"/>
      <c r="D12" s="6"/>
    </row>
  </sheetData>
  <pageMargins left="0.7" right="0.7" top="0.75" bottom="0.75" header="0.3" footer="0.3"/>
  <pageSetup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POWER_SICC_analog_meas_xml">
                <anchor moveWithCells="1">
                  <from>
                    <xdr:col>1</xdr:col>
                    <xdr:colOff>257175</xdr:colOff>
                    <xdr:row>0</xdr:row>
                    <xdr:rowOff>47625</xdr:rowOff>
                  </from>
                  <to>
                    <xdr:col>1</xdr:col>
                    <xdr:colOff>3752850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V11"/>
  <sheetViews>
    <sheetView workbookViewId="0"/>
  </sheetViews>
  <sheetFormatPr defaultRowHeight="15" x14ac:dyDescent="0.25"/>
  <sheetData>
    <row r="1" spans="1:256" x14ac:dyDescent="0.25">
      <c r="A1" t="s">
        <v>1</v>
      </c>
      <c r="F1" t="e">
        <f>ADTL_PRE_POST_CSE!A:A*"$&gt;\f!%"</f>
        <v>#VALUE!</v>
      </c>
      <c r="G1" t="e">
        <f>ADTL_PRE_POST_CSE!B:B*"$&gt;\f!&amp;"</f>
        <v>#VALUE!</v>
      </c>
      <c r="H1" t="e">
        <f>_xlfn.SINGLE(ADTL_PRE_POST_CSE!#REF!)*"$&gt;\f!'"</f>
        <v>#REF!</v>
      </c>
      <c r="I1" t="e">
        <f>_xlfn.SINGLE(ADTL_PRE_POST_CSE!#REF!)*"$&gt;\f!("</f>
        <v>#REF!</v>
      </c>
      <c r="J1" t="e">
        <f>ADTL_PRE_POST_CSE!C:C*"$&gt;\f!)"</f>
        <v>#VALUE!</v>
      </c>
      <c r="K1" t="e">
        <f>ADTL_PRE_POST_CSE!D:D*"$&gt;\f!."</f>
        <v>#VALUE!</v>
      </c>
      <c r="L1" t="e">
        <f>_xlfn.SINGLE(ADTL_PRE_POST_CSE!#REF!)*"$&gt;\f!/"</f>
        <v>#REF!</v>
      </c>
      <c r="M1" t="e">
        <f>_xlfn.SINGLE(ADTL_PRE_POST_CSE!#REF!)*"$&gt;\f!0"</f>
        <v>#REF!</v>
      </c>
      <c r="N1" t="e">
        <f>_xlfn.SINGLE(ADTL_PRE_POST_CSE!#REF!)*"$&gt;\f!1"</f>
        <v>#REF!</v>
      </c>
      <c r="O1" t="e">
        <f>_xlfn.SINGLE(ADTL_PRE_POST_CSE!#REF!)*"$&gt;\f!2"</f>
        <v>#REF!</v>
      </c>
      <c r="P1" t="e">
        <f>_xlfn.SINGLE(ADTL_PRE_POST_CSE!#REF!)*"$&gt;\f!3"</f>
        <v>#REF!</v>
      </c>
      <c r="Q1" t="e">
        <f>_xlfn.SINGLE(ADTL_PRE_POST_CSE!#REF!)*"$&gt;\f!4"</f>
        <v>#REF!</v>
      </c>
      <c r="R1" t="e">
        <f>_xlfn.SINGLE(ADTL_PRE_POST_CSE!#REF!)*"$&gt;\f!5"</f>
        <v>#REF!</v>
      </c>
      <c r="S1" t="e">
        <f>_xlfn.SINGLE(ADTL_PRE_POST_CSE!#REF!)*"$&gt;\f!6"</f>
        <v>#REF!</v>
      </c>
      <c r="T1" t="e">
        <f>_xlfn.SINGLE(ADTL_PRE_POST_CSE!#REF!)*"$&gt;\f!7"</f>
        <v>#REF!</v>
      </c>
      <c r="U1" t="e">
        <f>_xlfn.SINGLE(ADTL_PRE_POST_CSE!#REF!)*"$&gt;\f!8"</f>
        <v>#REF!</v>
      </c>
      <c r="V1" t="e">
        <f>ADTL_PRE_POST_CSE!E:E*"$&gt;\f!9"</f>
        <v>#VALUE!</v>
      </c>
      <c r="W1" t="e">
        <f>ADTL_PRE_POST_CSE!F:F*"$&gt;\f!:"</f>
        <v>#VALUE!</v>
      </c>
      <c r="X1" t="e">
        <f>ADTL_PRE_POST_CSE!G:G*"$&gt;\f!;"</f>
        <v>#VALUE!</v>
      </c>
      <c r="Y1" t="e">
        <f>ADTL_PRE_POST_CSE!H:H*"$&gt;\f!&lt;"</f>
        <v>#VALUE!</v>
      </c>
      <c r="Z1" t="e">
        <f>ADTL_PRE_POST_CSE!I:I*"$&gt;\f!="</f>
        <v>#VALUE!</v>
      </c>
      <c r="AA1" t="e">
        <f>ADTL_PRE_POST_CSE!J:J*"$&gt;\f!&gt;"</f>
        <v>#VALUE!</v>
      </c>
      <c r="AB1" t="e">
        <f>ADTL_PRE_POST_CSE!K:K*"$&gt;\f!?"</f>
        <v>#VALUE!</v>
      </c>
      <c r="AC1" t="e">
        <f>ADTL_PRE_POST_CSE!L:L*"$&gt;\f!@"</f>
        <v>#VALUE!</v>
      </c>
      <c r="AD1" t="e">
        <f>ADTL_PRE_POST_CSE!M:M*"$&gt;\f!A"</f>
        <v>#VALUE!</v>
      </c>
      <c r="AE1" t="e">
        <f>ADTL_PRE_POST_CSE!N:N*"$&gt;\f!B"</f>
        <v>#VALUE!</v>
      </c>
      <c r="AF1" t="e">
        <f>ADTL_PRE_POST_CSE!O:O*"$&gt;\f!C"</f>
        <v>#VALUE!</v>
      </c>
      <c r="AG1" t="e">
        <f>ADTL_PRE_POST_CSE!P:P*"$&gt;\f!D"</f>
        <v>#VALUE!</v>
      </c>
      <c r="AH1" t="e">
        <f>ADTL_PRE_POST_CSE!Q:Q*"$&gt;\f!E"</f>
        <v>#VALUE!</v>
      </c>
      <c r="AI1" t="e">
        <f>ADTL_PRE_POST_CSE!R:R*"$&gt;\f!F"</f>
        <v>#VALUE!</v>
      </c>
      <c r="AJ1" t="e">
        <f>ADTL_PRE_POST_CSE!S:S*"$&gt;\f!G"</f>
        <v>#VALUE!</v>
      </c>
      <c r="AK1" t="e">
        <f>ADTL_PRE_POST_CSE!T:T*"$&gt;\f!H"</f>
        <v>#VALUE!</v>
      </c>
      <c r="AL1" t="e">
        <f>ADTL_PRE_POST_CSE!U:U*"$&gt;\f!I"</f>
        <v>#VALUE!</v>
      </c>
      <c r="AM1" t="e">
        <f>ADTL_PRE_POST_CSE!V:V*"$&gt;\f!J"</f>
        <v>#VALUE!</v>
      </c>
      <c r="AN1" t="e">
        <f>ADTL_PRE_POST_CSE!W:W*"$&gt;\f!K"</f>
        <v>#VALUE!</v>
      </c>
      <c r="AO1" t="e">
        <f>ADTL_PRE_POST_CSE!X:X*"$&gt;\f!L"</f>
        <v>#VALUE!</v>
      </c>
      <c r="AP1" t="e">
        <f>ADTL_PRE_POST_CSE!Y:Y*"$&gt;\f!M"</f>
        <v>#VALUE!</v>
      </c>
      <c r="AQ1" t="e">
        <f>ADTL_PRE_POST_CSE!Z:Z*"$&gt;\f!N"</f>
        <v>#VALUE!</v>
      </c>
      <c r="AR1" t="e">
        <f>ADTL_PRE_POST_CSE!AA:AA*"$&gt;\f!O"</f>
        <v>#VALUE!</v>
      </c>
      <c r="AS1" t="e">
        <f>ADTL_PRE_POST_CSE!AB:AB*"$&gt;\f!P"</f>
        <v>#VALUE!</v>
      </c>
      <c r="AT1" t="e">
        <f>ADTL_PRE_POST_CSE!AC:AC*"$&gt;\f!Q"</f>
        <v>#VALUE!</v>
      </c>
      <c r="AU1" t="e">
        <f>ADTL_PRE_POST_CSE!AD:AD*"$&gt;\f!R"</f>
        <v>#VALUE!</v>
      </c>
      <c r="AV1" t="e">
        <f>ADTL_PRE_POST_CSE!AE:AE*"$&gt;\f!S"</f>
        <v>#VALUE!</v>
      </c>
      <c r="AW1" t="e">
        <f>ADTL_PRE_POST_CSE!AF:AF*"$&gt;\f!T"</f>
        <v>#VALUE!</v>
      </c>
      <c r="AX1" t="e">
        <f>ADTL_PRE_POST_CSE!AG:AG*"$&gt;\f!U"</f>
        <v>#VALUE!</v>
      </c>
      <c r="AY1" t="e">
        <f>ADTL_PRE_POST_CSE!AH:AH*"$&gt;\f!V"</f>
        <v>#VALUE!</v>
      </c>
      <c r="AZ1" t="e">
        <f>ADTL_PRE_POST_CSE!AI:AI*"$&gt;\f!W"</f>
        <v>#VALUE!</v>
      </c>
      <c r="BA1" t="e">
        <f>ADTL_PRE_POST_CSE!AJ:AJ*"$&gt;\f!X"</f>
        <v>#VALUE!</v>
      </c>
      <c r="BB1" t="e">
        <f>ADTL_PRE_POST_CSE!AK:AK*"$&gt;\f!Y"</f>
        <v>#VALUE!</v>
      </c>
      <c r="BC1" t="e">
        <f>ADTL_PRE_POST_CSE!AL:AL*"$&gt;\f!Z"</f>
        <v>#VALUE!</v>
      </c>
      <c r="BD1" t="e">
        <f>ADTL_PRE_POST_CSE!AM:AM*"$&gt;\f!["</f>
        <v>#VALUE!</v>
      </c>
      <c r="BE1" t="e">
        <f>ADTL_PRE_POST_CSE!AN:AN*"$&gt;\f!\"</f>
        <v>#VALUE!</v>
      </c>
      <c r="BF1" t="e">
        <f>ADTL_PRE_POST_CSE!AO:AO*"$&gt;\f!]"</f>
        <v>#VALUE!</v>
      </c>
      <c r="BG1" t="e">
        <f>ADTL_PRE_POST_CSE!AP:AP*"$&gt;\f!^"</f>
        <v>#VALUE!</v>
      </c>
      <c r="BH1" t="e">
        <f>ADTL_PRE_POST_CSE!AQ:AQ*"$&gt;\f!_"</f>
        <v>#VALUE!</v>
      </c>
      <c r="BI1" t="e">
        <f>ADTL_PRE_POST_CSE!AR:AR*"$&gt;\f!`"</f>
        <v>#VALUE!</v>
      </c>
      <c r="BJ1" t="e">
        <f>ADTL_PRE_POST_CSE!AS:AS*"$&gt;\f!a"</f>
        <v>#VALUE!</v>
      </c>
      <c r="BK1" t="e">
        <f>ADTL_PRE_POST_CSE!AT:AT*"$&gt;\f!b"</f>
        <v>#VALUE!</v>
      </c>
      <c r="BL1" t="e">
        <f>ADTL_PRE_POST_CSE!AU:AU*"$&gt;\f!c"</f>
        <v>#VALUE!</v>
      </c>
      <c r="BM1" t="e">
        <f>ADTL_PRE_POST_CSE!AV:AV*"$&gt;\f!d"</f>
        <v>#VALUE!</v>
      </c>
      <c r="BN1" t="e">
        <f>ADTL_PRE_POST_CSE!AW:AW*"$&gt;\f!e"</f>
        <v>#VALUE!</v>
      </c>
      <c r="BO1" t="e">
        <f>ADTL_PRE_POST_CSE!AX:AX*"$&gt;\f!f"</f>
        <v>#VALUE!</v>
      </c>
      <c r="BP1" t="e">
        <f>ADTL_PRE_POST_CSE!AY:AY*"$&gt;\f!g"</f>
        <v>#VALUE!</v>
      </c>
      <c r="BQ1" t="e">
        <f>ADTL_PRE_POST_CSE!AZ:AZ*"$&gt;\f!h"</f>
        <v>#VALUE!</v>
      </c>
      <c r="BR1" t="e">
        <f>ADTL_PRE_POST_CSE!BA:BA*"$&gt;\f!i"</f>
        <v>#VALUE!</v>
      </c>
      <c r="BS1" t="e">
        <f>ADTL_PRE_POST_CSE!BB:BB*"$&gt;\f!j"</f>
        <v>#VALUE!</v>
      </c>
      <c r="BT1" t="e">
        <f>ADTL_PRE_POST_CSE!BC:BC*"$&gt;\f!k"</f>
        <v>#VALUE!</v>
      </c>
      <c r="BU1" t="e">
        <f>ADTL_PRE_POST_CSE!BD:BD*"$&gt;\f!l"</f>
        <v>#VALUE!</v>
      </c>
      <c r="BV1" t="e">
        <f>ADTL_PRE_POST_CSE!BE:BE*"$&gt;\f!m"</f>
        <v>#VALUE!</v>
      </c>
      <c r="BW1" t="e">
        <f>ADTL_PRE_POST_CSE!1:1-"$&gt;\f!n"</f>
        <v>#VALUE!</v>
      </c>
      <c r="BX1" t="e">
        <f>ADTL_PRE_POST_CSE!2:2-"$&gt;\f!o"</f>
        <v>#VALUE!</v>
      </c>
      <c r="BY1" t="e">
        <f>ADTL_PRE_POST_CSE!3:3-"$&gt;\f!p"</f>
        <v>#VALUE!</v>
      </c>
      <c r="BZ1" t="e">
        <f>ADTL_PRE_POST_CSE!4:4-"$&gt;\f!q"</f>
        <v>#VALUE!</v>
      </c>
      <c r="CA1" t="e">
        <f>ADTL_PRE_POST_CSE!5:5-"$&gt;\f!r"</f>
        <v>#VALUE!</v>
      </c>
      <c r="CB1" t="e">
        <f>_xlfn.SINGLE(ADTL_PRE_POST_CSE!#REF!)-"$&gt;\f!s"</f>
        <v>#REF!</v>
      </c>
      <c r="CC1" t="e">
        <f>_xlfn.SINGLE(ADTL_PRE_POST_CSE!#REF!)-"$&gt;\f!t"</f>
        <v>#REF!</v>
      </c>
      <c r="CD1" t="e">
        <f>_xlfn.SINGLE(ADTL_PRE_POST_CSE!#REF!)-"$&gt;\f!u"</f>
        <v>#REF!</v>
      </c>
      <c r="CE1" t="e">
        <f>_xlfn.SINGLE(ADTL_PRE_POST_CSE!#REF!)-"$&gt;\f!v"</f>
        <v>#REF!</v>
      </c>
      <c r="CF1" t="e">
        <f>_xlfn.SINGLE(ADTL_PRE_POST_CSE!#REF!)-"$&gt;\f!w"</f>
        <v>#REF!</v>
      </c>
      <c r="CG1" t="e">
        <f>_xlfn.SINGLE(ADTL_PRE_POST_CSE!#REF!)-"$&gt;\f!x"</f>
        <v>#REF!</v>
      </c>
      <c r="CH1" t="e">
        <f>ADTL_PRE_POST_CSE!6:6-"$&gt;\f!y"</f>
        <v>#VALUE!</v>
      </c>
      <c r="CI1" t="e">
        <f>ADTL_PRE_POST_CSE!7:7-"$&gt;\f!z"</f>
        <v>#VALUE!</v>
      </c>
      <c r="CJ1" t="e">
        <f>ADTL_PRE_POST_CSE!8:8-"$&gt;\f!{"</f>
        <v>#VALUE!</v>
      </c>
      <c r="CK1" t="e">
        <f>ADTL_PRE_POST_CSE!9:9-"$&gt;\f!|"</f>
        <v>#VALUE!</v>
      </c>
      <c r="CL1" t="e">
        <f>ADTL_PRE_POST_CSE!10:10-"$&gt;\f!}"</f>
        <v>#VALUE!</v>
      </c>
      <c r="CM1" t="e">
        <f>ADTL_PRE_POST_CSE!11:11-"$&gt;\f!~"</f>
        <v>#VALUE!</v>
      </c>
      <c r="CN1" t="e">
        <f>ADTL_PRE_POST_CSE!12:12-"$&gt;\f!$#"</f>
        <v>#VALUE!</v>
      </c>
      <c r="CO1" t="e">
        <f>ADTL_PRE_POST_CSE!13:13-"$&gt;\f!$$"</f>
        <v>#VALUE!</v>
      </c>
      <c r="CP1" t="e">
        <f>ADTL_PRE_POST_CSE!14:14-"$&gt;\f!$%"</f>
        <v>#VALUE!</v>
      </c>
      <c r="CQ1" t="e">
        <f>ADTL_PRE_POST_CSE!15:15-"$&gt;\f!$&amp;"</f>
        <v>#VALUE!</v>
      </c>
      <c r="CR1" t="e">
        <f>ADTL_PRE_POST_CSE!16:16-"$&gt;\f!$'"</f>
        <v>#VALUE!</v>
      </c>
      <c r="CS1" t="e">
        <f>_xlfn.SINGLE(ADTL_PRE_POST_CSE!#REF!)-"$&gt;\f!$("</f>
        <v>#REF!</v>
      </c>
      <c r="CT1" t="e">
        <f>_xlfn.SINGLE(ADTL_PRE_POST_CSE!#REF!)-"$&gt;\f!$)"</f>
        <v>#REF!</v>
      </c>
      <c r="CU1" t="e">
        <f>_xlfn.SINGLE(ADTL_PRE_POST_CSE!#REF!)-"$&gt;\f!$."</f>
        <v>#REF!</v>
      </c>
      <c r="CV1" t="e">
        <f>_xlfn.SINGLE(ADTL_PRE_POST_CSE!#REF!)-"$&gt;\f!$/"</f>
        <v>#REF!</v>
      </c>
      <c r="CW1" t="e">
        <f>_xlfn.SINGLE(ADTL_PRE_POST_CSE!#REF!)-"$&gt;\f!$0"</f>
        <v>#REF!</v>
      </c>
      <c r="CX1" t="e">
        <f>_xlfn.SINGLE(ADTL_PRE_POST_CSE!#REF!)-"$&gt;\f!$1"</f>
        <v>#REF!</v>
      </c>
      <c r="CY1" t="e">
        <f>_xlfn.SINGLE(ADTL_PRE_POST_CSE!#REF!)-"$&gt;\f!$2"</f>
        <v>#REF!</v>
      </c>
      <c r="CZ1" t="e">
        <f>_xlfn.SINGLE(ADTL_PRE_POST_CSE!#REF!)-"$&gt;\f!$3"</f>
        <v>#REF!</v>
      </c>
      <c r="DA1" t="e">
        <f>_xlfn.SINGLE(ADTL_PRE_POST_CSE!#REF!)-"$&gt;\f!$4"</f>
        <v>#REF!</v>
      </c>
      <c r="DB1" t="e">
        <f>_xlfn.SINGLE(ADTL_PRE_POST_CSE!#REF!)-"$&gt;\f!$5"</f>
        <v>#REF!</v>
      </c>
      <c r="DC1" t="e">
        <f>_xlfn.SINGLE(ADTL_PRE_POST_CSE!#REF!)-"$&gt;\f!$6"</f>
        <v>#REF!</v>
      </c>
      <c r="DD1" t="e">
        <f>_xlfn.SINGLE(ADTL_PRE_POST_CSE!#REF!)-"$&gt;\f!$7"</f>
        <v>#REF!</v>
      </c>
      <c r="DE1" t="e">
        <f>_xlfn.SINGLE(ADTL_PRE_POST_CSE!#REF!)-"$&gt;\f!$8"</f>
        <v>#REF!</v>
      </c>
      <c r="DF1" t="e">
        <f>_xlfn.SINGLE(ADTL_PRE_POST_CSE!#REF!)-"$&gt;\f!$9"</f>
        <v>#REF!</v>
      </c>
      <c r="DG1" t="e">
        <f>_xlfn.SINGLE(ADTL_PRE_POST_CSE!#REF!)-"$&gt;\f!$:"</f>
        <v>#REF!</v>
      </c>
      <c r="DH1" t="e">
        <f>ADTL_PRE_POST_CSE!17:17-"$&gt;\f!$;"</f>
        <v>#VALUE!</v>
      </c>
      <c r="DI1" t="e">
        <f>ADTL_PRE_POST_CSE!18:18-"$&gt;\f!$&lt;"</f>
        <v>#VALUE!</v>
      </c>
      <c r="DJ1" t="e">
        <f>ADTL_PRE_POST_CSE!19:19-"$&gt;\f!$="</f>
        <v>#VALUE!</v>
      </c>
      <c r="DK1" t="e">
        <f>ADTL_PRE_POST_CSE!20:20-"$&gt;\f!$&gt;"</f>
        <v>#VALUE!</v>
      </c>
      <c r="DL1" t="e">
        <f>ADTL_PRE_POST_CSE!21:21-"$&gt;\f!$?"</f>
        <v>#VALUE!</v>
      </c>
      <c r="DM1" t="e">
        <f>ADTL_PRE_POST_CSE!22:22-"$&gt;\f!$@"</f>
        <v>#VALUE!</v>
      </c>
      <c r="DN1" t="e">
        <f>ADTL_PRE_POST_CSE!23:23-"$&gt;\f!$A"</f>
        <v>#VALUE!</v>
      </c>
      <c r="DO1" t="e">
        <f>ADTL_PRE_POST_CSE!24:24-"$&gt;\f!$B"</f>
        <v>#VALUE!</v>
      </c>
      <c r="DP1" t="e">
        <f>ADTL_PRE_POST_CSE!25:25-"$&gt;\f!$C"</f>
        <v>#VALUE!</v>
      </c>
      <c r="DQ1" t="e">
        <f>ADTL_PRE_POST_CSE!26:26-"$&gt;\f!$D"</f>
        <v>#VALUE!</v>
      </c>
      <c r="DR1" t="e">
        <f>ADTL_PRE_POST_CSE!27:27-"$&gt;\f!$E"</f>
        <v>#VALUE!</v>
      </c>
      <c r="DS1" t="e">
        <f>ADTL_PRE_POST_CSE!28:28-"$&gt;\f!$F"</f>
        <v>#VALUE!</v>
      </c>
      <c r="DT1" t="e">
        <f>ADTL_PRE_POST_CSE!29:29-"$&gt;\f!$G"</f>
        <v>#VALUE!</v>
      </c>
      <c r="DU1" t="e">
        <f>ADTL_PRE_POST_CSE!30:30-"$&gt;\f!$H"</f>
        <v>#VALUE!</v>
      </c>
      <c r="DV1" t="e">
        <f>ADTL_PRE_POST_CSE!31:31-"$&gt;\f!$I"</f>
        <v>#VALUE!</v>
      </c>
      <c r="DW1" t="e">
        <f>ADTL_PRE_POST_CSE!32:32-"$&gt;\f!$J"</f>
        <v>#VALUE!</v>
      </c>
      <c r="DX1" t="e">
        <f>ADTL_PRE_POST_CSE!33:33-"$&gt;\f!$K"</f>
        <v>#VALUE!</v>
      </c>
      <c r="DY1" t="e">
        <f>ADTL_PRE_POST_CSE!34:34-"$&gt;\f!$L"</f>
        <v>#VALUE!</v>
      </c>
      <c r="DZ1" t="e">
        <f>ADTL_PRE_POST_CSE!35:35-"$&gt;\f!$M"</f>
        <v>#VALUE!</v>
      </c>
      <c r="EA1" t="e">
        <f>ADTL_PRE_POST_CSE!36:36-"$&gt;\f!$N"</f>
        <v>#VALUE!</v>
      </c>
      <c r="EB1" t="e">
        <f>ADTL_PRE_POST_CSE!37:37-"$&gt;\f!$O"</f>
        <v>#VALUE!</v>
      </c>
      <c r="EC1" t="e">
        <f>ADTL_PRE_POST_CSE!38:38-"$&gt;\f!$P"</f>
        <v>#VALUE!</v>
      </c>
      <c r="ED1" t="e">
        <f>ADTL_PRE_POST_CSE!39:39-"$&gt;\f!$Q"</f>
        <v>#VALUE!</v>
      </c>
      <c r="EE1" t="e">
        <f>ADTL_PRE_POST_CSE!40:40-"$&gt;\f!$R"</f>
        <v>#VALUE!</v>
      </c>
      <c r="EF1" t="e">
        <f>ADTL_PRE_POST_CSE!41:41-"$&gt;\f!$S"</f>
        <v>#VALUE!</v>
      </c>
      <c r="EG1" t="e">
        <f>ADTL_PRE_POST_CSE!42:42-"$&gt;\f!$T"</f>
        <v>#VALUE!</v>
      </c>
      <c r="EH1" t="e">
        <f>ADTL_PRE_POST_CSE!43:43-"$&gt;\f!$U"</f>
        <v>#VALUE!</v>
      </c>
      <c r="EI1" t="e">
        <f>ADTL_PRE_POST_CSE!44:44-"$&gt;\f!$V"</f>
        <v>#VALUE!</v>
      </c>
      <c r="EJ1" t="e">
        <f>ADTL_PRE_POST_CSE!45:45-"$&gt;\f!$W"</f>
        <v>#VALUE!</v>
      </c>
      <c r="EK1" t="e">
        <f>ADTL_PRE_POST_CSE!46:46-"$&gt;\f!$X"</f>
        <v>#VALUE!</v>
      </c>
      <c r="EL1" t="e">
        <f>ADTL_PRE_POST_CSE!47:47-"$&gt;\f!$Y"</f>
        <v>#VALUE!</v>
      </c>
      <c r="EM1" t="e">
        <f>ADTL_PRE_POST_CSE!48:48-"$&gt;\f!$Z"</f>
        <v>#VALUE!</v>
      </c>
      <c r="EN1" t="e">
        <f>ADTL_PRE_POST_CSE!49:49-"$&gt;\f!$["</f>
        <v>#VALUE!</v>
      </c>
      <c r="EO1" t="e">
        <f>ADTL_PRE_POST_CSE!50:50-"$&gt;\f!$\"</f>
        <v>#VALUE!</v>
      </c>
      <c r="EP1" t="e">
        <f>ADTL_PRE_POST_CSE!51:51-"$&gt;\f!$]"</f>
        <v>#VALUE!</v>
      </c>
      <c r="EQ1" t="e">
        <f>ADTL_PRE_POST_CSE!52:52-"$&gt;\f!$^"</f>
        <v>#VALUE!</v>
      </c>
      <c r="ER1" t="e">
        <f>ADTL_PRE_POST_CSE!53:53-"$&gt;\f!$_"</f>
        <v>#VALUE!</v>
      </c>
      <c r="ES1" t="e">
        <f>ADTL_PRE_POST_CSE!54:54-"$&gt;\f!$`"</f>
        <v>#VALUE!</v>
      </c>
      <c r="ET1" t="e">
        <f>ADTL_PRE_POST_CSE!55:55-"$&gt;\f!$a"</f>
        <v>#VALUE!</v>
      </c>
      <c r="EU1" t="e">
        <f>ADTL_PRE_POST_CSE!56:56-"$&gt;\f!$b"</f>
        <v>#VALUE!</v>
      </c>
      <c r="EV1" t="e">
        <f>ADTL_PRE_POST_CSE!57:57-"$&gt;\f!$c"</f>
        <v>#VALUE!</v>
      </c>
      <c r="EW1" t="e">
        <f>ADTL_PRE_POST_CSE!58:58-"$&gt;\f!$d"</f>
        <v>#VALUE!</v>
      </c>
      <c r="EX1" t="e">
        <f>ADTL_PRE_POST_CSE!59:59-"$&gt;\f!$e"</f>
        <v>#VALUE!</v>
      </c>
      <c r="EY1" t="e">
        <f>ADTL_PRE_POST_CSE!60:60-"$&gt;\f!$f"</f>
        <v>#VALUE!</v>
      </c>
      <c r="EZ1" t="e">
        <f>ADTL_PRE_POST_CSE!61:61-"$&gt;\f!$g"</f>
        <v>#VALUE!</v>
      </c>
      <c r="FA1" t="e">
        <f>ADTL_PRE_POST_CSE!62:62-"$&gt;\f!$h"</f>
        <v>#VALUE!</v>
      </c>
      <c r="FB1" t="e">
        <f>ADTL_PRE_POST_CSE!63:63-"$&gt;\f!$i"</f>
        <v>#VALUE!</v>
      </c>
      <c r="FC1" t="e">
        <f>ADTL_PRE_POST_CSE!64:64-"$&gt;\f!$j"</f>
        <v>#VALUE!</v>
      </c>
      <c r="FD1" t="e">
        <f>ADTL_PRE_POST_CSE!65:65-"$&gt;\f!$k"</f>
        <v>#VALUE!</v>
      </c>
      <c r="FE1" t="e">
        <f>ADTL_PRE_POST_CSE!66:66-"$&gt;\f!$l"</f>
        <v>#VALUE!</v>
      </c>
      <c r="FF1" t="e">
        <f>ADTL_PRE_POST_CSE!67:67-"$&gt;\f!$m"</f>
        <v>#VALUE!</v>
      </c>
      <c r="FG1" t="e">
        <f>ADTL_PRE_POST_CSE!68:68-"$&gt;\f!$n"</f>
        <v>#VALUE!</v>
      </c>
      <c r="FH1" t="e">
        <f>ADTL_PRE_POST_CSE!69:69-"$&gt;\f!$o"</f>
        <v>#VALUE!</v>
      </c>
      <c r="FI1" t="e">
        <f>ADTL_PRE_POST_CSE!70:70-"$&gt;\f!$p"</f>
        <v>#VALUE!</v>
      </c>
      <c r="FJ1" t="e">
        <f>ADTL_PRE_POST_CSE!71:71-"$&gt;\f!$q"</f>
        <v>#VALUE!</v>
      </c>
      <c r="FK1" t="e">
        <f>ADTL_PRE_POST_CSE!72:72-"$&gt;\f!$r"</f>
        <v>#VALUE!</v>
      </c>
      <c r="FL1" t="e">
        <f>ADTL_PRE_POST_CSE!73:73-"$&gt;\f!$s"</f>
        <v>#VALUE!</v>
      </c>
      <c r="FM1" t="e">
        <f>ADTL_PRE_POST_CSE!74:74-"$&gt;\f!$t"</f>
        <v>#VALUE!</v>
      </c>
      <c r="FN1" t="e">
        <f>ADTL_PRE_POST_CSE!75:75-"$&gt;\f!$u"</f>
        <v>#VALUE!</v>
      </c>
      <c r="FO1" t="e">
        <f>ADTL_PRE_POST_CSE!76:76-"$&gt;\f!$v"</f>
        <v>#VALUE!</v>
      </c>
      <c r="FP1" t="e">
        <f>ADTL_PRE_POST_CSE!77:77-"$&gt;\f!$w"</f>
        <v>#VALUE!</v>
      </c>
      <c r="FQ1" t="e">
        <f>ADTL_PRE_POST_CSE!78:78-"$&gt;\f!$x"</f>
        <v>#VALUE!</v>
      </c>
      <c r="FR1" t="e">
        <f>ADTL_PRE_POST_CSE!79:79-"$&gt;\f!$y"</f>
        <v>#VALUE!</v>
      </c>
      <c r="FS1" t="e">
        <f>ADTL_PRE_POST_CSE!80:80-"$&gt;\f!$z"</f>
        <v>#VALUE!</v>
      </c>
      <c r="FT1" t="e">
        <f>ADTL_PRE_POST_CSE!81:81-"$&gt;\f!${"</f>
        <v>#VALUE!</v>
      </c>
      <c r="FU1" t="e">
        <f>ADTL_PRE_POST_CSE!82:82-"$&gt;\f!$|"</f>
        <v>#VALUE!</v>
      </c>
      <c r="FV1" t="e">
        <f>ADTL_PRE_POST_CSE!83:83-"$&gt;\f!$}"</f>
        <v>#VALUE!</v>
      </c>
      <c r="FW1" t="e">
        <f>ADTL_PRE_POST_CSE!84:84-"$&gt;\f!$~"</f>
        <v>#VALUE!</v>
      </c>
      <c r="FX1" t="e">
        <f>ADTL_PRE_POST_CSE!85:85-"$&gt;\f!%#"</f>
        <v>#VALUE!</v>
      </c>
      <c r="FY1" t="e">
        <f>ADTL_PRE_POST_CSE!86:86-"$&gt;\f!%$"</f>
        <v>#VALUE!</v>
      </c>
      <c r="FZ1" t="e">
        <f>ADTL_PRE_POST_CSE!87:87-"$&gt;\f!%%"</f>
        <v>#VALUE!</v>
      </c>
      <c r="GA1" t="e">
        <f>ADTL_PRE_POST_CSE!88:88-"$&gt;\f!%&amp;"</f>
        <v>#VALUE!</v>
      </c>
      <c r="GB1" t="e">
        <f>ADTL_PRE_POST_CSE!89:89-"$&gt;\f!%'"</f>
        <v>#VALUE!</v>
      </c>
      <c r="GC1" t="e">
        <f>ADTL_PRE_POST_CSE!90:90-"$&gt;\f!%("</f>
        <v>#VALUE!</v>
      </c>
      <c r="GD1" t="e">
        <f>ADTL_PRE_POST_CSE!91:91-"$&gt;\f!%)"</f>
        <v>#VALUE!</v>
      </c>
      <c r="GE1" t="e">
        <f>ADTL_PRE_POST_CSE!92:92-"$&gt;\f!%."</f>
        <v>#VALUE!</v>
      </c>
      <c r="GF1" t="e">
        <f>ADTL_PRE_POST_CSE!93:93-"$&gt;\f!%/"</f>
        <v>#VALUE!</v>
      </c>
      <c r="GG1" t="e">
        <f>ADTL_PRE_POST_CSE!94:94-"$&gt;\f!%0"</f>
        <v>#VALUE!</v>
      </c>
      <c r="GH1" t="e">
        <f>ADTL_PRE_POST_CSE!95:95-"$&gt;\f!%1"</f>
        <v>#VALUE!</v>
      </c>
      <c r="GI1" t="e">
        <f>ADTL_PRE_POST_CSE!96:96-"$&gt;\f!%2"</f>
        <v>#VALUE!</v>
      </c>
      <c r="GJ1" t="e">
        <f>ADTL_PRE_POST_CSE!97:97-"$&gt;\f!%3"</f>
        <v>#VALUE!</v>
      </c>
      <c r="GK1" t="e">
        <f>ADTL_PRE_POST_CSE!98:98-"$&gt;\f!%4"</f>
        <v>#VALUE!</v>
      </c>
      <c r="GL1" t="e">
        <f>ADTL_PRE_POST_CSE!99:99-"$&gt;\f!%5"</f>
        <v>#VALUE!</v>
      </c>
      <c r="GM1" t="e">
        <f>ADTL_PRE_POST_CSE!100:100-"$&gt;\f!%6"</f>
        <v>#VALUE!</v>
      </c>
      <c r="GN1" t="e">
        <f>ADTL_PRE_POST_CSE!101:101-"$&gt;\f!%7"</f>
        <v>#VALUE!</v>
      </c>
      <c r="GO1" t="e">
        <f>ADTL_PRE_POST_CSE!102:102-"$&gt;\f!%8"</f>
        <v>#VALUE!</v>
      </c>
      <c r="GP1" t="e">
        <f>ADTL_PRE_POST_CSE!103:103-"$&gt;\f!%9"</f>
        <v>#VALUE!</v>
      </c>
      <c r="GQ1" t="e">
        <f>ADTL_PRE_POST_CSE!104:104-"$&gt;\f!%:"</f>
        <v>#VALUE!</v>
      </c>
      <c r="GR1" t="e">
        <f>ADTL_PRE_POST_CSE!105:105-"$&gt;\f!%;"</f>
        <v>#VALUE!</v>
      </c>
      <c r="GS1" t="e">
        <f>ADTL_PRE_POST_CSE!106:106-"$&gt;\f!%&lt;"</f>
        <v>#VALUE!</v>
      </c>
      <c r="GT1" t="e">
        <f>ADTL_PRE_POST_CSE!107:107-"$&gt;\f!%="</f>
        <v>#VALUE!</v>
      </c>
      <c r="GU1" t="e">
        <f>ADTL_PRE_POST_CSE!108:108-"$&gt;\f!%&gt;"</f>
        <v>#VALUE!</v>
      </c>
      <c r="GV1" t="e">
        <f>ADTL_PRE_POST_CSE!109:109-"$&gt;\f!%?"</f>
        <v>#VALUE!</v>
      </c>
      <c r="GW1" t="e">
        <f>ADTL_PRE_POST_CSE!110:110-"$&gt;\f!%@"</f>
        <v>#VALUE!</v>
      </c>
      <c r="GX1" t="e">
        <f>ADTL_PRE_POST_CSE!111:111-"$&gt;\f!%A"</f>
        <v>#VALUE!</v>
      </c>
      <c r="GY1" t="e">
        <f>ADTL_PRE_POST_CSE!112:112-"$&gt;\f!%B"</f>
        <v>#VALUE!</v>
      </c>
      <c r="GZ1" t="e">
        <f>ADTL_PRE_POST_CSE!113:113-"$&gt;\f!%C"</f>
        <v>#VALUE!</v>
      </c>
      <c r="HA1" t="e">
        <f>ADTL_PRE_POST_CSE!114:114-"$&gt;\f!%D"</f>
        <v>#VALUE!</v>
      </c>
      <c r="HB1" t="e">
        <f>ADTL_PRE_POST_CSE!115:115-"$&gt;\f!%E"</f>
        <v>#VALUE!</v>
      </c>
      <c r="HC1" t="e">
        <f>ADTL_PRE_POST_CSE!116:116-"$&gt;\f!%F"</f>
        <v>#VALUE!</v>
      </c>
      <c r="HD1" t="e">
        <f>ADTL_PRE_POST_CSE!117:117-"$&gt;\f!%G"</f>
        <v>#VALUE!</v>
      </c>
      <c r="HE1" t="e">
        <f>ADTL_PRE_POST_CSE!118:118-"$&gt;\f!%H"</f>
        <v>#VALUE!</v>
      </c>
      <c r="HF1" t="e">
        <f>ADTL_PRE_POST_CSE!119:119-"$&gt;\f!%I"</f>
        <v>#VALUE!</v>
      </c>
      <c r="HG1" t="e">
        <f>ADTL_PRE_POST_CSE!120:120-"$&gt;\f!%J"</f>
        <v>#VALUE!</v>
      </c>
      <c r="HH1" t="e">
        <f>ADTL_PRE_POST_CSE!121:121-"$&gt;\f!%K"</f>
        <v>#VALUE!</v>
      </c>
      <c r="HI1" t="e">
        <f>ADTL_PRE_POST_CSE!122:122-"$&gt;\f!%L"</f>
        <v>#VALUE!</v>
      </c>
      <c r="HJ1" t="e">
        <f>ADTL_PRE_POST_CSE!123:123-"$&gt;\f!%M"</f>
        <v>#VALUE!</v>
      </c>
      <c r="HK1" t="e">
        <f>ADTL_PRE_POST_CSE!124:124-"$&gt;\f!%N"</f>
        <v>#VALUE!</v>
      </c>
      <c r="HL1" t="e">
        <f>ADTL_PRE_POST_CSE!125:125-"$&gt;\f!%O"</f>
        <v>#VALUE!</v>
      </c>
      <c r="HM1" t="e">
        <f>ADTL_PRE_POST_CSE!126:126-"$&gt;\f!%P"</f>
        <v>#VALUE!</v>
      </c>
      <c r="HN1" t="e">
        <f>ADTL_PRE_POST_CSE!127:127-"$&gt;\f!%Q"</f>
        <v>#VALUE!</v>
      </c>
      <c r="HO1" t="e">
        <f>ADTL_PRE_POST_CSE!128:128-"$&gt;\f!%R"</f>
        <v>#VALUE!</v>
      </c>
      <c r="HP1" t="e">
        <f>ADTL_PRE_POST_CSE!129:129-"$&gt;\f!%S"</f>
        <v>#VALUE!</v>
      </c>
      <c r="HQ1" t="e">
        <f>ADTL_PRE_POST_CSE!130:130-"$&gt;\f!%T"</f>
        <v>#VALUE!</v>
      </c>
      <c r="HR1" t="e">
        <f>ADTL_PRE_POST_CSE!131:131-"$&gt;\f!%U"</f>
        <v>#VALUE!</v>
      </c>
      <c r="HS1" t="e">
        <f>ADTL_PRE_POST_CSE!132:132-"$&gt;\f!%V"</f>
        <v>#VALUE!</v>
      </c>
      <c r="HT1" t="e">
        <f>ADTL_PRE_POST_CSE!133:133-"$&gt;\f!%W"</f>
        <v>#VALUE!</v>
      </c>
      <c r="HU1" t="e">
        <f>ADTL_PRE_POST_CSE!134:134-"$&gt;\f!%X"</f>
        <v>#VALUE!</v>
      </c>
      <c r="HV1" t="e">
        <f>ADTL_PRE_POST_CSE!135:135-"$&gt;\f!%Y"</f>
        <v>#VALUE!</v>
      </c>
      <c r="HW1" t="e">
        <f>ADTL_PRE_POST_CSE!136:136-"$&gt;\f!%Z"</f>
        <v>#VALUE!</v>
      </c>
      <c r="HX1" t="e">
        <f>ADTL_PRE_POST_CSE!137:137-"$&gt;\f!%["</f>
        <v>#VALUE!</v>
      </c>
      <c r="HY1" t="e">
        <f>ADTL_PRE_POST_CSE!138:138-"$&gt;\f!%\"</f>
        <v>#VALUE!</v>
      </c>
      <c r="HZ1" t="e">
        <f>ADTL_PRE_POST_CSE!139:139-"$&gt;\f!%]"</f>
        <v>#VALUE!</v>
      </c>
      <c r="IA1" t="e">
        <f>ADTL_PRE_POST_CSE!140:140-"$&gt;\f!%^"</f>
        <v>#VALUE!</v>
      </c>
      <c r="IB1" t="e">
        <f>ADTL_PRE_POST_CSE!141:141-"$&gt;\f!%_"</f>
        <v>#VALUE!</v>
      </c>
      <c r="IC1" t="e">
        <f>ADTL_PRE_POST_CSE!142:142-"$&gt;\f!%`"</f>
        <v>#VALUE!</v>
      </c>
      <c r="ID1" t="e">
        <f>ADTL_PRE_POST_CSE!143:143-"$&gt;\f!%a"</f>
        <v>#VALUE!</v>
      </c>
      <c r="IE1" t="e">
        <f>ADTL_PRE_POST_CSE!144:144-"$&gt;\f!%b"</f>
        <v>#VALUE!</v>
      </c>
      <c r="IF1" t="e">
        <f>ADTL_PRE_POST_CSE!145:145-"$&gt;\f!%c"</f>
        <v>#VALUE!</v>
      </c>
      <c r="IG1" t="e">
        <f>ADTL_PRE_POST_CSE!146:146-"$&gt;\f!%d"</f>
        <v>#VALUE!</v>
      </c>
      <c r="IH1" t="e">
        <f>ADTL_PRE_POST_CSE!147:147-"$&gt;\f!%e"</f>
        <v>#VALUE!</v>
      </c>
      <c r="II1" t="e">
        <f>ADTL_PRE_POST_CSE!148:148-"$&gt;\f!%f"</f>
        <v>#VALUE!</v>
      </c>
      <c r="IJ1" t="e">
        <f>ADTL_PRE_POST_CSE!149:149-"$&gt;\f!%g"</f>
        <v>#VALUE!</v>
      </c>
      <c r="IK1" t="e">
        <f>ADTL_PRE_POST_CSE!150:150-"$&gt;\f!%h"</f>
        <v>#VALUE!</v>
      </c>
      <c r="IL1" t="e">
        <f>ADTL_PRE_POST_CSE!151:151-"$&gt;\f!%i"</f>
        <v>#VALUE!</v>
      </c>
      <c r="IM1" t="e">
        <f>ADTL_PRE_POST_CSE!152:152-"$&gt;\f!%j"</f>
        <v>#VALUE!</v>
      </c>
      <c r="IN1" t="e">
        <f>ADTL_PRE_POST_CSE!153:153-"$&gt;\f!%k"</f>
        <v>#VALUE!</v>
      </c>
      <c r="IO1" t="e">
        <f>ADTL_PRE_POST_CSE!154:154-"$&gt;\f!%l"</f>
        <v>#VALUE!</v>
      </c>
      <c r="IP1" t="e">
        <f>ADTL_PRE_POST_CSE!155:155-"$&gt;\f!%m"</f>
        <v>#VALUE!</v>
      </c>
      <c r="IQ1" t="e">
        <f>ADTL_PRE_POST_CSE!156:156-"$&gt;\f!%n"</f>
        <v>#VALUE!</v>
      </c>
      <c r="IR1" t="e">
        <f>ADTL_PRE_POST_CSE!157:157-"$&gt;\f!%o"</f>
        <v>#VALUE!</v>
      </c>
      <c r="IS1" t="e">
        <f>ADTL_PRE_POST_CSE!158:158-"$&gt;\f!%p"</f>
        <v>#VALUE!</v>
      </c>
      <c r="IT1" t="e">
        <f>ADTL_PRE_POST_CSE!159:159-"$&gt;\f!%q"</f>
        <v>#VALUE!</v>
      </c>
      <c r="IU1" t="e">
        <f>ADTL_PRE_POST_CSE!160:160-"$&gt;\f!%r"</f>
        <v>#VALUE!</v>
      </c>
      <c r="IV1" t="e">
        <f>ADTL_PRE_POST_CSE!161:161-"$&gt;\f!%s"</f>
        <v>#VALUE!</v>
      </c>
    </row>
    <row r="2" spans="1:256" x14ac:dyDescent="0.25">
      <c r="A2" t="s">
        <v>2</v>
      </c>
      <c r="F2" t="e">
        <f>ADTL_PRE_POST_CSE!162:162-"$&gt;\f!%t"</f>
        <v>#VALUE!</v>
      </c>
      <c r="G2" t="e">
        <f>ADTL_PRE_POST_CSE!163:163-"$&gt;\f!%u"</f>
        <v>#VALUE!</v>
      </c>
      <c r="H2" t="e">
        <f>ADTL_PRE_POST_CSE!164:164-"$&gt;\f!%v"</f>
        <v>#VALUE!</v>
      </c>
      <c r="I2" t="e">
        <f>ADTL_PRE_POST_CSE!165:165-"$&gt;\f!%w"</f>
        <v>#VALUE!</v>
      </c>
      <c r="J2" t="e">
        <f>ADTL_PRE_POST_CSE!166:166-"$&gt;\f!%x"</f>
        <v>#VALUE!</v>
      </c>
      <c r="K2" t="e">
        <f>ADTL_PRE_POST_CSE!167:167-"$&gt;\f!%y"</f>
        <v>#VALUE!</v>
      </c>
      <c r="L2" t="e">
        <f>ADTL_PRE_POST_CSE!168:168-"$&gt;\f!%z"</f>
        <v>#VALUE!</v>
      </c>
      <c r="M2" t="e">
        <f>ADTL_PRE_POST_CSE!169:169-"$&gt;\f!%{"</f>
        <v>#VALUE!</v>
      </c>
      <c r="N2" t="e">
        <f>ADTL_PRE_POST_CSE!170:170-"$&gt;\f!%|"</f>
        <v>#VALUE!</v>
      </c>
      <c r="O2" t="e">
        <f>ADTL_PRE_POST_CSE!171:171-"$&gt;\f!%}"</f>
        <v>#VALUE!</v>
      </c>
      <c r="P2" t="e">
        <f>ADTL_PRE_POST_CSE!172:172-"$&gt;\f!%~"</f>
        <v>#VALUE!</v>
      </c>
      <c r="Q2" t="e">
        <f>ADTL_PRE_POST_CSE!173:173-"$&gt;\f!&amp;#"</f>
        <v>#VALUE!</v>
      </c>
      <c r="R2" t="e">
        <f>ADTL_PRE_POST_CSE!174:174-"$&gt;\f!&amp;$"</f>
        <v>#VALUE!</v>
      </c>
      <c r="S2" t="e">
        <f>ADTL_PRE_POST_CSE!175:175-"$&gt;\f!&amp;%"</f>
        <v>#VALUE!</v>
      </c>
      <c r="T2" t="e">
        <f>ADTL_PRE_POST_CSE!176:176-"$&gt;\f!&amp;&amp;"</f>
        <v>#VALUE!</v>
      </c>
      <c r="U2" t="e">
        <f>ADTL_PRE_POST_CSE!177:177-"$&gt;\f!&amp;'"</f>
        <v>#VALUE!</v>
      </c>
      <c r="V2" t="e">
        <f>ADTL_PRE_POST_CSE!178:178-"$&gt;\f!&amp;("</f>
        <v>#VALUE!</v>
      </c>
      <c r="W2" t="e">
        <f>ADTL_PRE_POST_CSE!179:179-"$&gt;\f!&amp;)"</f>
        <v>#VALUE!</v>
      </c>
      <c r="X2" t="e">
        <f>ADTL_PRE_POST_CSE!180:180-"$&gt;\f!&amp;."</f>
        <v>#VALUE!</v>
      </c>
      <c r="Y2" t="e">
        <f>ADTL_PRE_POST_CSE!181:181-"$&gt;\f!&amp;/"</f>
        <v>#VALUE!</v>
      </c>
      <c r="Z2" t="e">
        <f>ADTL_PRE_POST_CSE!182:182-"$&gt;\f!&amp;0"</f>
        <v>#VALUE!</v>
      </c>
      <c r="AA2" t="e">
        <f>ADTL_PRE_POST_CSE!183:183-"$&gt;\f!&amp;1"</f>
        <v>#VALUE!</v>
      </c>
      <c r="AB2" t="e">
        <f>ADTL_PRE_POST_CSE!184:184-"$&gt;\f!&amp;2"</f>
        <v>#VALUE!</v>
      </c>
      <c r="AC2" t="e">
        <f>ADTL_PRE_POST_CSE!185:185-"$&gt;\f!&amp;3"</f>
        <v>#VALUE!</v>
      </c>
      <c r="AD2" t="e">
        <f>ADTL_PRE_POST_CSE!A1+"$&gt;\f!&amp;4"</f>
        <v>#VALUE!</v>
      </c>
      <c r="AE2" t="e">
        <f>ADTL_PRE_POST_CSE!B1+"$&gt;\f!&amp;5"</f>
        <v>#VALUE!</v>
      </c>
      <c r="AF2" t="e">
        <f>ADTL_PRE_POST_CSE!#REF!+"$&gt;\f!&amp;6"</f>
        <v>#REF!</v>
      </c>
      <c r="AG2" t="e">
        <f>ADTL_PRE_POST_CSE!#REF!+"$&gt;\f!&amp;7"</f>
        <v>#REF!</v>
      </c>
      <c r="AH2" t="e">
        <f>ADTL_PRE_POST_CSE!C1+"$&gt;\f!&amp;8"</f>
        <v>#VALUE!</v>
      </c>
      <c r="AI2" t="e">
        <f>ADTL_PRE_POST_CSE!D1+"$&gt;\f!&amp;9"</f>
        <v>#VALUE!</v>
      </c>
      <c r="AJ2" t="e">
        <f>ADTL_PRE_POST_CSE!#REF!+"$&gt;\f!&amp;:"</f>
        <v>#REF!</v>
      </c>
      <c r="AK2" t="e">
        <f>ADTL_PRE_POST_CSE!#REF!+"$&gt;\f!&amp;;"</f>
        <v>#REF!</v>
      </c>
      <c r="AL2" t="e">
        <f>ADTL_PRE_POST_CSE!#REF!+"$&gt;\f!&amp;&lt;"</f>
        <v>#REF!</v>
      </c>
      <c r="AM2" t="e">
        <f>ADTL_PRE_POST_CSE!#REF!+"$&gt;\f!&amp;="</f>
        <v>#REF!</v>
      </c>
      <c r="AN2" t="e">
        <f>ADTL_PRE_POST_CSE!#REF!+"$&gt;\f!&amp;&gt;"</f>
        <v>#REF!</v>
      </c>
      <c r="AO2" t="e">
        <f>ADTL_PRE_POST_CSE!#REF!+"$&gt;\f!&amp;?"</f>
        <v>#REF!</v>
      </c>
      <c r="AP2" t="e">
        <f>ADTL_PRE_POST_CSE!#REF!+"$&gt;\f!&amp;@"</f>
        <v>#REF!</v>
      </c>
      <c r="AQ2" t="e">
        <f>ADTL_PRE_POST_CSE!#REF!+"$&gt;\f!&amp;A"</f>
        <v>#REF!</v>
      </c>
      <c r="AR2" t="e">
        <f>ADTL_PRE_POST_CSE!#REF!+"$&gt;\f!&amp;B"</f>
        <v>#REF!</v>
      </c>
      <c r="AS2" t="e">
        <f>ADTL_PRE_POST_CSE!#REF!+"$&gt;\f!&amp;C"</f>
        <v>#REF!</v>
      </c>
      <c r="AT2" t="e">
        <f>ADTL_PRE_POST_CSE!E1+"$&gt;\f!&amp;D"</f>
        <v>#VALUE!</v>
      </c>
      <c r="AU2" t="e">
        <f>ADTL_PRE_POST_CSE!F1+"$&gt;\f!&amp;E"</f>
        <v>#VALUE!</v>
      </c>
      <c r="AV2" t="e">
        <f>ADTL_PRE_POST_CSE!G1+"$&gt;\f!&amp;F"</f>
        <v>#VALUE!</v>
      </c>
      <c r="AW2" t="e">
        <f>ADTL_PRE_POST_CSE!B2+"$&gt;\f!&amp;G"</f>
        <v>#VALUE!</v>
      </c>
      <c r="AX2" t="e">
        <f>ADTL_PRE_POST_CSE!#REF!+"$&gt;\f!&amp;H"</f>
        <v>#REF!</v>
      </c>
      <c r="AY2" t="e">
        <f>ADTL_PRE_POST_CSE!#REF!+"$&gt;\f!&amp;I"</f>
        <v>#REF!</v>
      </c>
      <c r="AZ2" t="e">
        <f>ADTL_PRE_POST_CSE!C2+"$&gt;\f!&amp;J"</f>
        <v>#VALUE!</v>
      </c>
      <c r="BA2" t="e">
        <f>ADTL_PRE_POST_CSE!D2+"$&gt;\f!&amp;K"</f>
        <v>#VALUE!</v>
      </c>
      <c r="BB2" t="e">
        <f>ADTL_PRE_POST_CSE!#REF!+"$&gt;\f!&amp;L"</f>
        <v>#REF!</v>
      </c>
      <c r="BC2" t="e">
        <f>ADTL_PRE_POST_CSE!#REF!+"$&gt;\f!&amp;M"</f>
        <v>#REF!</v>
      </c>
      <c r="BD2" t="e">
        <f>ADTL_PRE_POST_CSE!#REF!+"$&gt;\f!&amp;N"</f>
        <v>#REF!</v>
      </c>
      <c r="BE2" t="e">
        <f>ADTL_PRE_POST_CSE!#REF!+"$&gt;\f!&amp;O"</f>
        <v>#REF!</v>
      </c>
      <c r="BF2" t="e">
        <f>ADTL_PRE_POST_CSE!#REF!+"$&gt;\f!&amp;P"</f>
        <v>#REF!</v>
      </c>
      <c r="BG2" t="e">
        <f>ADTL_PRE_POST_CSE!#REF!+"$&gt;\f!&amp;Q"</f>
        <v>#REF!</v>
      </c>
      <c r="BH2" t="e">
        <f>ADTL_PRE_POST_CSE!#REF!+"$&gt;\f!&amp;R"</f>
        <v>#REF!</v>
      </c>
      <c r="BI2" t="e">
        <f>ADTL_PRE_POST_CSE!#REF!+"$&gt;\f!&amp;S"</f>
        <v>#REF!</v>
      </c>
      <c r="BJ2" t="e">
        <f>ADTL_PRE_POST_CSE!B3+"$&gt;\f!&amp;T"</f>
        <v>#VALUE!</v>
      </c>
      <c r="BK2" t="e">
        <f>ADTL_PRE_POST_CSE!#REF!+"$&gt;\f!&amp;U"</f>
        <v>#REF!</v>
      </c>
      <c r="BL2" t="e">
        <f>ADTL_PRE_POST_CSE!#REF!+"$&gt;\f!&amp;V"</f>
        <v>#REF!</v>
      </c>
      <c r="BM2" t="e">
        <f>ADTL_PRE_POST_CSE!C3+"$&gt;\f!&amp;W"</f>
        <v>#VALUE!</v>
      </c>
      <c r="BN2" t="e">
        <f>ADTL_PRE_POST_CSE!D3+"$&gt;\f!&amp;X"</f>
        <v>#VALUE!</v>
      </c>
      <c r="BO2" t="e">
        <f>ADTL_PRE_POST_CSE!#REF!+"$&gt;\f!&amp;Y"</f>
        <v>#REF!</v>
      </c>
      <c r="BP2" t="e">
        <f>ADTL_PRE_POST_CSE!#REF!+"$&gt;\f!&amp;Z"</f>
        <v>#REF!</v>
      </c>
      <c r="BQ2" t="e">
        <f>ADTL_PRE_POST_CSE!#REF!+"$&gt;\f!&amp;["</f>
        <v>#REF!</v>
      </c>
      <c r="BR2" t="e">
        <f>ADTL_PRE_POST_CSE!#REF!+"$&gt;\f!&amp;\"</f>
        <v>#REF!</v>
      </c>
      <c r="BS2" t="e">
        <f>ADTL_PRE_POST_CSE!#REF!+"$&gt;\f!&amp;]"</f>
        <v>#REF!</v>
      </c>
      <c r="BT2" t="e">
        <f>ADTL_PRE_POST_CSE!#REF!+"$&gt;\f!&amp;^"</f>
        <v>#REF!</v>
      </c>
      <c r="BU2" t="e">
        <f>ADTL_PRE_POST_CSE!#REF!+"$&gt;\f!&amp;_"</f>
        <v>#REF!</v>
      </c>
      <c r="BV2" t="e">
        <f>ADTL_PRE_POST_CSE!#REF!+"$&gt;\f!&amp;`"</f>
        <v>#REF!</v>
      </c>
      <c r="BW2" t="e">
        <f>ADTL_PRE_POST_CSE!B4+"$&gt;\f!&amp;a"</f>
        <v>#VALUE!</v>
      </c>
      <c r="BX2" t="e">
        <f>ADTL_PRE_POST_CSE!#REF!+"$&gt;\f!&amp;b"</f>
        <v>#REF!</v>
      </c>
      <c r="BY2" t="e">
        <f>ADTL_PRE_POST_CSE!#REF!+"$&gt;\f!&amp;c"</f>
        <v>#REF!</v>
      </c>
      <c r="BZ2" t="e">
        <f>ADTL_PRE_POST_CSE!C4+"$&gt;\f!&amp;d"</f>
        <v>#VALUE!</v>
      </c>
      <c r="CA2" t="e">
        <f>ADTL_PRE_POST_CSE!D4+"$&gt;\f!&amp;e"</f>
        <v>#VALUE!</v>
      </c>
      <c r="CB2" t="e">
        <f>ADTL_PRE_POST_CSE!#REF!+"$&gt;\f!&amp;f"</f>
        <v>#REF!</v>
      </c>
      <c r="CC2" t="e">
        <f>ADTL_PRE_POST_CSE!#REF!+"$&gt;\f!&amp;g"</f>
        <v>#REF!</v>
      </c>
      <c r="CD2" t="e">
        <f>ADTL_PRE_POST_CSE!#REF!+"$&gt;\f!&amp;h"</f>
        <v>#REF!</v>
      </c>
      <c r="CE2" t="e">
        <f>ADTL_PRE_POST_CSE!#REF!+"$&gt;\f!&amp;i"</f>
        <v>#REF!</v>
      </c>
      <c r="CF2" t="e">
        <f>ADTL_PRE_POST_CSE!#REF!+"$&gt;\f!&amp;j"</f>
        <v>#REF!</v>
      </c>
      <c r="CG2" t="e">
        <f>ADTL_PRE_POST_CSE!#REF!+"$&gt;\f!&amp;k"</f>
        <v>#REF!</v>
      </c>
      <c r="CH2" t="e">
        <f>ADTL_PRE_POST_CSE!#REF!+"$&gt;\f!&amp;l"</f>
        <v>#REF!</v>
      </c>
      <c r="CI2" t="e">
        <f>ADTL_PRE_POST_CSE!#REF!+"$&gt;\f!&amp;m"</f>
        <v>#REF!</v>
      </c>
      <c r="CJ2" t="e">
        <f>ADTL_PRE_POST_CSE!B5+"$&gt;\f!&amp;n"</f>
        <v>#VALUE!</v>
      </c>
      <c r="CK2" t="e">
        <f>ADTL_PRE_POST_CSE!#REF!+"$&gt;\f!&amp;o"</f>
        <v>#REF!</v>
      </c>
      <c r="CL2" t="e">
        <f>ADTL_PRE_POST_CSE!#REF!+"$&gt;\f!&amp;p"</f>
        <v>#REF!</v>
      </c>
      <c r="CM2" t="e">
        <f>ADTL_PRE_POST_CSE!C5+"$&gt;\f!&amp;q"</f>
        <v>#VALUE!</v>
      </c>
      <c r="CN2" t="e">
        <f>ADTL_PRE_POST_CSE!D5+"$&gt;\f!&amp;r"</f>
        <v>#VALUE!</v>
      </c>
      <c r="CO2" t="e">
        <f>ADTL_PRE_POST_CSE!#REF!+"$&gt;\f!&amp;s"</f>
        <v>#REF!</v>
      </c>
      <c r="CP2" t="e">
        <f>ADTL_PRE_POST_CSE!#REF!+"$&gt;\f!&amp;t"</f>
        <v>#REF!</v>
      </c>
      <c r="CQ2" t="e">
        <f>ADTL_PRE_POST_CSE!#REF!+"$&gt;\f!&amp;u"</f>
        <v>#REF!</v>
      </c>
      <c r="CR2" t="e">
        <f>ADTL_PRE_POST_CSE!#REF!+"$&gt;\f!&amp;v"</f>
        <v>#REF!</v>
      </c>
      <c r="CS2" t="e">
        <f>ADTL_PRE_POST_CSE!#REF!+"$&gt;\f!&amp;w"</f>
        <v>#REF!</v>
      </c>
      <c r="CT2" t="e">
        <f>ADTL_PRE_POST_CSE!#REF!+"$&gt;\f!&amp;x"</f>
        <v>#REF!</v>
      </c>
      <c r="CU2" t="e">
        <f>ADTL_PRE_POST_CSE!#REF!+"$&gt;\f!&amp;y"</f>
        <v>#REF!</v>
      </c>
      <c r="CV2" t="e">
        <f>ADTL_PRE_POST_CSE!#REF!+"$&gt;\f!&amp;z"</f>
        <v>#REF!</v>
      </c>
      <c r="CW2" t="e">
        <f>ADTL_PRE_POST_CSE!#REF!+"$&gt;\f!&amp;{"</f>
        <v>#REF!</v>
      </c>
      <c r="CX2" t="e">
        <f>#REF!*"$&gt;\f!&amp;|"</f>
        <v>#REF!</v>
      </c>
      <c r="CY2" t="e">
        <f>#REF!*"$&gt;\f!&amp;}"</f>
        <v>#REF!</v>
      </c>
      <c r="CZ2" t="e">
        <f>#REF!*"$&gt;\f!&amp;~"</f>
        <v>#REF!</v>
      </c>
      <c r="DA2" t="e">
        <f>#REF!*"$&gt;\f!'#"</f>
        <v>#REF!</v>
      </c>
      <c r="DB2" t="e">
        <f>#REF!*"$&gt;\f!'$"</f>
        <v>#REF!</v>
      </c>
      <c r="DC2" t="e">
        <f>#REF!*"$&gt;\f!'%"</f>
        <v>#REF!</v>
      </c>
      <c r="DD2" t="e">
        <f>#REF!*"$&gt;\f!'&amp;"</f>
        <v>#REF!</v>
      </c>
      <c r="DE2" t="e">
        <f>#REF!*"$&gt;\f!''"</f>
        <v>#REF!</v>
      </c>
      <c r="DF2" t="e">
        <f>#REF!*"$&gt;\f!'("</f>
        <v>#REF!</v>
      </c>
      <c r="DG2" t="e">
        <f>#REF!*"$&gt;\f!')"</f>
        <v>#REF!</v>
      </c>
      <c r="DH2" t="e">
        <f>#REF!*"$&gt;\f!'."</f>
        <v>#REF!</v>
      </c>
      <c r="DI2" t="e">
        <f>#REF!*"$&gt;\f!'/"</f>
        <v>#REF!</v>
      </c>
      <c r="DJ2" t="e">
        <f>#REF!*"$&gt;\f!'0"</f>
        <v>#REF!</v>
      </c>
      <c r="DK2" t="e">
        <f>#REF!*"$&gt;\f!'1"</f>
        <v>#REF!</v>
      </c>
      <c r="DL2" t="e">
        <f>#REF!*"$&gt;\f!'2"</f>
        <v>#REF!</v>
      </c>
      <c r="DM2" t="e">
        <f>#REF!*"$&gt;\f!'3"</f>
        <v>#REF!</v>
      </c>
      <c r="DN2" t="e">
        <f>#REF!*"$&gt;\f!'4"</f>
        <v>#REF!</v>
      </c>
      <c r="DO2" t="e">
        <f>#REF!*"$&gt;\f!'5"</f>
        <v>#REF!</v>
      </c>
      <c r="DP2" t="e">
        <f>#REF!*"$&gt;\f!'6"</f>
        <v>#REF!</v>
      </c>
      <c r="DQ2" t="e">
        <f>#REF!*"$&gt;\f!'7"</f>
        <v>#REF!</v>
      </c>
      <c r="DR2" t="e">
        <f>#REF!*"$&gt;\f!'8"</f>
        <v>#REF!</v>
      </c>
      <c r="DS2" t="e">
        <f>#REF!*"$&gt;\f!'9"</f>
        <v>#REF!</v>
      </c>
      <c r="DT2" t="e">
        <f>#REF!*"$&gt;\f!':"</f>
        <v>#REF!</v>
      </c>
      <c r="DU2" t="e">
        <f>#REF!*"$&gt;\f!';"</f>
        <v>#REF!</v>
      </c>
      <c r="DV2" t="e">
        <f>#REF!*"$&gt;\f!'&lt;"</f>
        <v>#REF!</v>
      </c>
      <c r="DW2" t="e">
        <f>#REF!*"$&gt;\f!'="</f>
        <v>#REF!</v>
      </c>
      <c r="DX2" t="e">
        <f>#REF!*"$&gt;\f!'&gt;"</f>
        <v>#REF!</v>
      </c>
      <c r="DY2" t="e">
        <f>#REF!*"$&gt;\f!'?"</f>
        <v>#REF!</v>
      </c>
      <c r="DZ2" t="e">
        <f>#REF!*"$&gt;\f!'@"</f>
        <v>#REF!</v>
      </c>
      <c r="EA2" t="e">
        <f>#REF!*"$&gt;\f!'A"</f>
        <v>#REF!</v>
      </c>
      <c r="EB2" t="e">
        <f>#REF!*"$&gt;\f!'B"</f>
        <v>#REF!</v>
      </c>
      <c r="EC2" t="e">
        <f>#REF!*"$&gt;\f!'C"</f>
        <v>#REF!</v>
      </c>
      <c r="ED2" t="e">
        <f>#REF!*"$&gt;\f!'D"</f>
        <v>#REF!</v>
      </c>
      <c r="EE2" t="e">
        <f>#REF!*"$&gt;\f!'E"</f>
        <v>#REF!</v>
      </c>
      <c r="EF2" t="e">
        <f>#REF!*"$&gt;\f!'F"</f>
        <v>#REF!</v>
      </c>
      <c r="EG2" t="e">
        <f>#REF!*"$&gt;\f!'G"</f>
        <v>#REF!</v>
      </c>
      <c r="EH2" t="e">
        <f>#REF!*"$&gt;\f!'H"</f>
        <v>#REF!</v>
      </c>
      <c r="EI2" t="e">
        <f>#REF!*"$&gt;\f!'I"</f>
        <v>#REF!</v>
      </c>
      <c r="EJ2" t="e">
        <f>#REF!*"$&gt;\f!'J"</f>
        <v>#REF!</v>
      </c>
      <c r="EK2" t="e">
        <f>#REF!*"$&gt;\f!'K"</f>
        <v>#REF!</v>
      </c>
      <c r="EL2" t="e">
        <f>#REF!*"$&gt;\f!'L"</f>
        <v>#REF!</v>
      </c>
      <c r="EM2" t="e">
        <f>#REF!*"$&gt;\f!'M"</f>
        <v>#REF!</v>
      </c>
      <c r="EN2" t="e">
        <f>#REF!*"$&gt;\f!'N"</f>
        <v>#REF!</v>
      </c>
      <c r="EO2" t="e">
        <f>#REF!*"$&gt;\f!'O"</f>
        <v>#REF!</v>
      </c>
      <c r="EP2" t="e">
        <f>#REF!*"$&gt;\f!'P"</f>
        <v>#REF!</v>
      </c>
      <c r="EQ2" t="e">
        <f>#REF!*"$&gt;\f!'Q"</f>
        <v>#REF!</v>
      </c>
      <c r="ER2" t="e">
        <f>#REF!*"$&gt;\f!'R"</f>
        <v>#REF!</v>
      </c>
      <c r="ES2" t="e">
        <f>#REF!*"$&gt;\f!'S"</f>
        <v>#REF!</v>
      </c>
      <c r="ET2" t="e">
        <f>#REF!*"$&gt;\f!'T"</f>
        <v>#REF!</v>
      </c>
      <c r="EU2" t="e">
        <f>#REF!*"$&gt;\f!'U"</f>
        <v>#REF!</v>
      </c>
      <c r="EV2" t="e">
        <f>#REF!*"$&gt;\f!'V"</f>
        <v>#REF!</v>
      </c>
      <c r="EW2" t="e">
        <f>#REF!*"$&gt;\f!'W"</f>
        <v>#REF!</v>
      </c>
      <c r="EX2" t="e">
        <f>#REF!*"$&gt;\f!'X"</f>
        <v>#REF!</v>
      </c>
      <c r="EY2" t="e">
        <f>#REF!*"$&gt;\f!'Y"</f>
        <v>#REF!</v>
      </c>
      <c r="EZ2" t="e">
        <f>#REF!*"$&gt;\f!'Z"</f>
        <v>#REF!</v>
      </c>
      <c r="FA2" t="e">
        <f>#REF!*"$&gt;\f!'["</f>
        <v>#REF!</v>
      </c>
      <c r="FB2" t="e">
        <f>#REF!*"$&gt;\f!'\"</f>
        <v>#REF!</v>
      </c>
      <c r="FC2" t="e">
        <f>#REF!*"$&gt;\f!']"</f>
        <v>#REF!</v>
      </c>
      <c r="FD2" t="e">
        <f>#REF!*"$&gt;\f!'^"</f>
        <v>#REF!</v>
      </c>
      <c r="FE2" t="e">
        <f>#REF!*"$&gt;\f!'_"</f>
        <v>#REF!</v>
      </c>
      <c r="FF2" t="e">
        <f>#REF!*"$&gt;\f!'`"</f>
        <v>#REF!</v>
      </c>
      <c r="FG2" t="e">
        <f>#REF!*"$&gt;\f!'a"</f>
        <v>#REF!</v>
      </c>
      <c r="FH2" t="e">
        <f>#REF!*"$&gt;\f!'b"</f>
        <v>#REF!</v>
      </c>
      <c r="FI2" t="e">
        <f>#REF!*"$&gt;\f!'c"</f>
        <v>#REF!</v>
      </c>
      <c r="FJ2" t="e">
        <f>#REF!*"$&gt;\f!'d"</f>
        <v>#REF!</v>
      </c>
      <c r="FK2" t="e">
        <f>#REF!*"$&gt;\f!'e"</f>
        <v>#REF!</v>
      </c>
      <c r="FL2" t="e">
        <f>#REF!*"$&gt;\f!'f"</f>
        <v>#REF!</v>
      </c>
      <c r="FM2" t="e">
        <f>#REF!*"$&gt;\f!'g"</f>
        <v>#REF!</v>
      </c>
      <c r="FN2" t="e">
        <f>#REF!*"$&gt;\f!'h"</f>
        <v>#REF!</v>
      </c>
      <c r="FO2" t="e">
        <f>#REF!-"$&gt;\f!'i"</f>
        <v>#REF!</v>
      </c>
      <c r="FP2" t="e">
        <f>#REF!-"$&gt;\f!'j"</f>
        <v>#REF!</v>
      </c>
      <c r="FQ2" t="e">
        <f>#REF!-"$&gt;\f!'k"</f>
        <v>#REF!</v>
      </c>
      <c r="FR2" t="e">
        <f>#REF!-"$&gt;\f!'l"</f>
        <v>#REF!</v>
      </c>
      <c r="FS2" t="e">
        <f>#REF!-"$&gt;\f!'m"</f>
        <v>#REF!</v>
      </c>
      <c r="FT2" t="e">
        <f>#REF!-"$&gt;\f!'n"</f>
        <v>#REF!</v>
      </c>
      <c r="FU2" t="e">
        <f>#REF!-"$&gt;\f!'o"</f>
        <v>#REF!</v>
      </c>
      <c r="FV2" t="e">
        <f>#REF!-"$&gt;\f!'p"</f>
        <v>#REF!</v>
      </c>
      <c r="FW2" t="e">
        <f>#REF!-"$&gt;\f!'q"</f>
        <v>#REF!</v>
      </c>
      <c r="FX2" t="e">
        <f>#REF!-"$&gt;\f!'r"</f>
        <v>#REF!</v>
      </c>
      <c r="FY2" t="e">
        <f>#REF!-"$&gt;\f!'s"</f>
        <v>#REF!</v>
      </c>
      <c r="FZ2" t="e">
        <f>#REF!-"$&gt;\f!'t"</f>
        <v>#REF!</v>
      </c>
      <c r="GA2" t="e">
        <f>#REF!-"$&gt;\f!'u"</f>
        <v>#REF!</v>
      </c>
      <c r="GB2" t="e">
        <f>#REF!-"$&gt;\f!'v"</f>
        <v>#REF!</v>
      </c>
      <c r="GC2" t="e">
        <f>#REF!-"$&gt;\f!'w"</f>
        <v>#REF!</v>
      </c>
      <c r="GD2" t="e">
        <f>#REF!-"$&gt;\f!'x"</f>
        <v>#REF!</v>
      </c>
      <c r="GE2" t="e">
        <f>#REF!-"$&gt;\f!'y"</f>
        <v>#REF!</v>
      </c>
      <c r="GF2" t="e">
        <f>#REF!-"$&gt;\f!'z"</f>
        <v>#REF!</v>
      </c>
      <c r="GG2" t="e">
        <f>#REF!-"$&gt;\f!'{"</f>
        <v>#REF!</v>
      </c>
      <c r="GH2" t="e">
        <f>#REF!-"$&gt;\f!'|"</f>
        <v>#REF!</v>
      </c>
      <c r="GI2" t="e">
        <f>#REF!-"$&gt;\f!'}"</f>
        <v>#REF!</v>
      </c>
      <c r="GJ2" t="e">
        <f>#REF!-"$&gt;\f!'~"</f>
        <v>#REF!</v>
      </c>
      <c r="GK2" t="e">
        <f>#REF!-"$&gt;\f!(#"</f>
        <v>#REF!</v>
      </c>
      <c r="GL2" t="e">
        <f>#REF!-"$&gt;\f!($"</f>
        <v>#REF!</v>
      </c>
      <c r="GM2" t="e">
        <f>#REF!-"$&gt;\f!(%"</f>
        <v>#REF!</v>
      </c>
      <c r="GN2" t="e">
        <f>#REF!-"$&gt;\f!(&amp;"</f>
        <v>#REF!</v>
      </c>
      <c r="GO2" t="e">
        <f>#REF!-"$&gt;\f!('"</f>
        <v>#REF!</v>
      </c>
      <c r="GP2" t="e">
        <f>#REF!-"$&gt;\f!(("</f>
        <v>#REF!</v>
      </c>
      <c r="GQ2" t="e">
        <f>#REF!-"$&gt;\f!()"</f>
        <v>#REF!</v>
      </c>
      <c r="GR2" t="e">
        <f>#REF!-"$&gt;\f!(."</f>
        <v>#REF!</v>
      </c>
      <c r="GS2" t="e">
        <f>#REF!-"$&gt;\f!(/"</f>
        <v>#REF!</v>
      </c>
      <c r="GT2" t="e">
        <f>#REF!-"$&gt;\f!(0"</f>
        <v>#REF!</v>
      </c>
      <c r="GU2" t="e">
        <f>#REF!-"$&gt;\f!(1"</f>
        <v>#REF!</v>
      </c>
      <c r="GV2" t="e">
        <f>#REF!-"$&gt;\f!(2"</f>
        <v>#REF!</v>
      </c>
      <c r="GW2" t="e">
        <f>#REF!-"$&gt;\f!(3"</f>
        <v>#REF!</v>
      </c>
      <c r="GX2" t="e">
        <f>#REF!-"$&gt;\f!(4"</f>
        <v>#REF!</v>
      </c>
      <c r="GY2" t="e">
        <f>#REF!-"$&gt;\f!(5"</f>
        <v>#REF!</v>
      </c>
      <c r="GZ2" t="e">
        <f>#REF!-"$&gt;\f!(6"</f>
        <v>#REF!</v>
      </c>
      <c r="HA2" t="e">
        <f>#REF!-"$&gt;\f!(7"</f>
        <v>#REF!</v>
      </c>
      <c r="HB2" t="e">
        <f>#REF!-"$&gt;\f!(8"</f>
        <v>#REF!</v>
      </c>
      <c r="HC2" t="e">
        <f>#REF!-"$&gt;\f!(9"</f>
        <v>#REF!</v>
      </c>
      <c r="HD2" t="e">
        <f>#REF!-"$&gt;\f!(:"</f>
        <v>#REF!</v>
      </c>
      <c r="HE2" t="e">
        <f>#REF!-"$&gt;\f!(;"</f>
        <v>#REF!</v>
      </c>
      <c r="HF2" t="e">
        <f>#REF!-"$&gt;\f!(&lt;"</f>
        <v>#REF!</v>
      </c>
      <c r="HG2" t="e">
        <f>#REF!-"$&gt;\f!(="</f>
        <v>#REF!</v>
      </c>
      <c r="HH2" t="e">
        <f>#REF!-"$&gt;\f!(&gt;"</f>
        <v>#REF!</v>
      </c>
      <c r="HI2" t="e">
        <f>#REF!-"$&gt;\f!(?"</f>
        <v>#REF!</v>
      </c>
      <c r="HJ2" t="e">
        <f>#REF!-"$&gt;\f!(@"</f>
        <v>#REF!</v>
      </c>
      <c r="HK2" t="e">
        <f>#REF!-"$&gt;\f!(A"</f>
        <v>#REF!</v>
      </c>
      <c r="HL2" t="e">
        <f>#REF!-"$&gt;\f!(B"</f>
        <v>#REF!</v>
      </c>
      <c r="HM2" t="e">
        <f>#REF!-"$&gt;\f!(C"</f>
        <v>#REF!</v>
      </c>
      <c r="HN2" t="e">
        <f>#REF!-"$&gt;\f!(D"</f>
        <v>#REF!</v>
      </c>
      <c r="HO2" t="e">
        <f>#REF!-"$&gt;\f!(E"</f>
        <v>#REF!</v>
      </c>
      <c r="HP2" t="e">
        <f>#REF!-"$&gt;\f!(F"</f>
        <v>#REF!</v>
      </c>
      <c r="HQ2" t="e">
        <f>#REF!-"$&gt;\f!(G"</f>
        <v>#REF!</v>
      </c>
      <c r="HR2" t="e">
        <f>#REF!-"$&gt;\f!(H"</f>
        <v>#REF!</v>
      </c>
      <c r="HS2" t="e">
        <f>#REF!-"$&gt;\f!(I"</f>
        <v>#REF!</v>
      </c>
      <c r="HT2" t="e">
        <f>#REF!-"$&gt;\f!(J"</f>
        <v>#REF!</v>
      </c>
      <c r="HU2" t="e">
        <f>#REF!-"$&gt;\f!(K"</f>
        <v>#REF!</v>
      </c>
      <c r="HV2" t="e">
        <f>#REF!-"$&gt;\f!(L"</f>
        <v>#REF!</v>
      </c>
      <c r="HW2" t="e">
        <f>#REF!-"$&gt;\f!(M"</f>
        <v>#REF!</v>
      </c>
      <c r="HX2" t="e">
        <f>#REF!-"$&gt;\f!(N"</f>
        <v>#REF!</v>
      </c>
      <c r="HY2" t="e">
        <f>#REF!-"$&gt;\f!(O"</f>
        <v>#REF!</v>
      </c>
      <c r="HZ2" t="e">
        <f>#REF!-"$&gt;\f!(P"</f>
        <v>#REF!</v>
      </c>
      <c r="IA2" t="e">
        <f>#REF!-"$&gt;\f!(Q"</f>
        <v>#REF!</v>
      </c>
      <c r="IB2" t="e">
        <f>#REF!-"$&gt;\f!(R"</f>
        <v>#REF!</v>
      </c>
      <c r="IC2" t="e">
        <f>#REF!-"$&gt;\f!(S"</f>
        <v>#REF!</v>
      </c>
      <c r="ID2" t="e">
        <f>#REF!-"$&gt;\f!(T"</f>
        <v>#REF!</v>
      </c>
      <c r="IE2" t="e">
        <f>#REF!-"$&gt;\f!(U"</f>
        <v>#REF!</v>
      </c>
      <c r="IF2" t="e">
        <f>#REF!-"$&gt;\f!(V"</f>
        <v>#REF!</v>
      </c>
      <c r="IG2" t="e">
        <f>#REF!-"$&gt;\f!(W"</f>
        <v>#REF!</v>
      </c>
      <c r="IH2" t="e">
        <f>#REF!-"$&gt;\f!(X"</f>
        <v>#REF!</v>
      </c>
      <c r="II2" t="e">
        <f>#REF!-"$&gt;\f!(Y"</f>
        <v>#REF!</v>
      </c>
      <c r="IJ2" t="e">
        <f>#REF!-"$&gt;\f!(Z"</f>
        <v>#REF!</v>
      </c>
      <c r="IK2" t="e">
        <f>#REF!-"$&gt;\f!(["</f>
        <v>#REF!</v>
      </c>
      <c r="IL2" t="e">
        <f>#REF!-"$&gt;\f!(\"</f>
        <v>#REF!</v>
      </c>
      <c r="IM2" t="e">
        <f>#REF!-"$&gt;\f!(]"</f>
        <v>#REF!</v>
      </c>
      <c r="IN2" t="e">
        <f>#REF!-"$&gt;\f!(^"</f>
        <v>#REF!</v>
      </c>
      <c r="IO2" t="e">
        <f>#REF!-"$&gt;\f!(_"</f>
        <v>#REF!</v>
      </c>
      <c r="IP2" t="e">
        <f>#REF!-"$&gt;\f!(`"</f>
        <v>#REF!</v>
      </c>
      <c r="IQ2" t="e">
        <f>#REF!-"$&gt;\f!(a"</f>
        <v>#REF!</v>
      </c>
      <c r="IR2" t="e">
        <f>#REF!-"$&gt;\f!(b"</f>
        <v>#REF!</v>
      </c>
      <c r="IS2" t="e">
        <f>#REF!-"$&gt;\f!(c"</f>
        <v>#REF!</v>
      </c>
      <c r="IT2" t="e">
        <f>#REF!-"$&gt;\f!(d"</f>
        <v>#REF!</v>
      </c>
      <c r="IU2" t="e">
        <f>#REF!-"$&gt;\f!(e"</f>
        <v>#REF!</v>
      </c>
      <c r="IV2" t="e">
        <f>#REF!-"$&gt;\f!(f"</f>
        <v>#REF!</v>
      </c>
    </row>
    <row r="3" spans="1:256" x14ac:dyDescent="0.25">
      <c r="A3" t="s">
        <v>3</v>
      </c>
      <c r="F3" t="e">
        <f>#REF!-"$&gt;\f!(g"</f>
        <v>#REF!</v>
      </c>
      <c r="G3" t="e">
        <f>#REF!-"$&gt;\f!(h"</f>
        <v>#REF!</v>
      </c>
      <c r="H3" t="e">
        <f>#REF!-"$&gt;\f!(i"</f>
        <v>#REF!</v>
      </c>
      <c r="I3" t="e">
        <f>#REF!-"$&gt;\f!(j"</f>
        <v>#REF!</v>
      </c>
      <c r="J3" t="e">
        <f>#REF!-"$&gt;\f!(k"</f>
        <v>#REF!</v>
      </c>
      <c r="K3" t="e">
        <f>#REF!-"$&gt;\f!(l"</f>
        <v>#REF!</v>
      </c>
      <c r="L3" t="e">
        <f>#REF!-"$&gt;\f!(m"</f>
        <v>#REF!</v>
      </c>
      <c r="M3" t="e">
        <f>#REF!-"$&gt;\f!(n"</f>
        <v>#REF!</v>
      </c>
      <c r="N3" t="e">
        <f>#REF!-"$&gt;\f!(o"</f>
        <v>#REF!</v>
      </c>
      <c r="O3" t="e">
        <f>#REF!-"$&gt;\f!(p"</f>
        <v>#REF!</v>
      </c>
      <c r="P3" t="e">
        <f>#REF!-"$&gt;\f!(q"</f>
        <v>#REF!</v>
      </c>
      <c r="Q3" t="e">
        <f>#REF!-"$&gt;\f!(r"</f>
        <v>#REF!</v>
      </c>
      <c r="R3" t="e">
        <f>#REF!-"$&gt;\f!(s"</f>
        <v>#REF!</v>
      </c>
      <c r="S3" t="e">
        <f>#REF!-"$&gt;\f!(t"</f>
        <v>#REF!</v>
      </c>
      <c r="T3" t="e">
        <f>#REF!-"$&gt;\f!(u"</f>
        <v>#REF!</v>
      </c>
      <c r="U3" t="e">
        <f>#REF!-"$&gt;\f!(v"</f>
        <v>#REF!</v>
      </c>
      <c r="V3" t="e">
        <f>#REF!-"$&gt;\f!(w"</f>
        <v>#REF!</v>
      </c>
      <c r="W3" t="e">
        <f>#REF!-"$&gt;\f!(x"</f>
        <v>#REF!</v>
      </c>
      <c r="X3" t="e">
        <f>#REF!-"$&gt;\f!(y"</f>
        <v>#REF!</v>
      </c>
      <c r="Y3" t="e">
        <f>#REF!-"$&gt;\f!(z"</f>
        <v>#REF!</v>
      </c>
      <c r="Z3" t="e">
        <f>#REF!-"$&gt;\f!({"</f>
        <v>#REF!</v>
      </c>
      <c r="AA3" t="e">
        <f>#REF!-"$&gt;\f!(|"</f>
        <v>#REF!</v>
      </c>
      <c r="AB3" t="e">
        <f>#REF!-"$&gt;\f!(}"</f>
        <v>#REF!</v>
      </c>
      <c r="AC3" t="e">
        <f>#REF!-"$&gt;\f!(~"</f>
        <v>#REF!</v>
      </c>
      <c r="AD3" t="e">
        <f>#REF!-"$&gt;\f!)#"</f>
        <v>#REF!</v>
      </c>
      <c r="AE3" t="e">
        <f>#REF!-"$&gt;\f!)$"</f>
        <v>#REF!</v>
      </c>
      <c r="AF3" t="e">
        <f>#REF!-"$&gt;\f!)%"</f>
        <v>#REF!</v>
      </c>
      <c r="AG3" t="e">
        <f>#REF!-"$&gt;\f!)&amp;"</f>
        <v>#REF!</v>
      </c>
      <c r="AH3" t="e">
        <f>#REF!-"$&gt;\f!)'"</f>
        <v>#REF!</v>
      </c>
      <c r="AI3" t="e">
        <f>#REF!-"$&gt;\f!)("</f>
        <v>#REF!</v>
      </c>
      <c r="AJ3" t="e">
        <f>#REF!-"$&gt;\f!))"</f>
        <v>#REF!</v>
      </c>
      <c r="AK3" t="e">
        <f>#REF!-"$&gt;\f!)."</f>
        <v>#REF!</v>
      </c>
      <c r="AL3" t="e">
        <f>#REF!-"$&gt;\f!)/"</f>
        <v>#REF!</v>
      </c>
      <c r="AM3" t="e">
        <f>#REF!-"$&gt;\f!)0"</f>
        <v>#REF!</v>
      </c>
      <c r="AN3" t="e">
        <f>#REF!-"$&gt;\f!)1"</f>
        <v>#REF!</v>
      </c>
      <c r="AO3" t="e">
        <f>#REF!-"$&gt;\f!)2"</f>
        <v>#REF!</v>
      </c>
      <c r="AP3" t="e">
        <f>#REF!-"$&gt;\f!)3"</f>
        <v>#REF!</v>
      </c>
      <c r="AQ3" t="e">
        <f>#REF!-"$&gt;\f!)4"</f>
        <v>#REF!</v>
      </c>
      <c r="AR3" t="e">
        <f>#REF!-"$&gt;\f!)5"</f>
        <v>#REF!</v>
      </c>
      <c r="AS3" t="e">
        <f>#REF!-"$&gt;\f!)6"</f>
        <v>#REF!</v>
      </c>
      <c r="AT3" t="e">
        <f>#REF!-"$&gt;\f!)7"</f>
        <v>#REF!</v>
      </c>
      <c r="AU3" t="e">
        <f>#REF!-"$&gt;\f!)8"</f>
        <v>#REF!</v>
      </c>
      <c r="AV3" t="e">
        <f>#REF!-"$&gt;\f!)9"</f>
        <v>#REF!</v>
      </c>
      <c r="AW3" t="e">
        <f>#REF!-"$&gt;\f!):"</f>
        <v>#REF!</v>
      </c>
      <c r="AX3" t="e">
        <f>#REF!-"$&gt;\f!);"</f>
        <v>#REF!</v>
      </c>
      <c r="AY3" t="e">
        <f>#REF!-"$&gt;\f!)&lt;"</f>
        <v>#REF!</v>
      </c>
      <c r="AZ3" t="e">
        <f>#REF!-"$&gt;\f!)="</f>
        <v>#REF!</v>
      </c>
      <c r="BA3" t="e">
        <f>#REF!-"$&gt;\f!)&gt;"</f>
        <v>#REF!</v>
      </c>
      <c r="BB3" t="e">
        <f>#REF!-"$&gt;\f!)?"</f>
        <v>#REF!</v>
      </c>
      <c r="BC3" t="e">
        <f>#REF!-"$&gt;\f!)@"</f>
        <v>#REF!</v>
      </c>
      <c r="BD3" t="e">
        <f>#REF!-"$&gt;\f!)A"</f>
        <v>#REF!</v>
      </c>
      <c r="BE3" t="e">
        <f>#REF!-"$&gt;\f!)B"</f>
        <v>#REF!</v>
      </c>
      <c r="BF3" t="e">
        <f>#REF!-"$&gt;\f!)C"</f>
        <v>#REF!</v>
      </c>
      <c r="BG3" t="e">
        <f>#REF!-"$&gt;\f!)D"</f>
        <v>#REF!</v>
      </c>
      <c r="BH3" t="e">
        <f>#REF!-"$&gt;\f!)E"</f>
        <v>#REF!</v>
      </c>
      <c r="BI3" t="e">
        <f>#REF!-"$&gt;\f!)F"</f>
        <v>#REF!</v>
      </c>
      <c r="BJ3" t="e">
        <f>#REF!-"$&gt;\f!)G"</f>
        <v>#REF!</v>
      </c>
      <c r="BK3" t="e">
        <f>#REF!-"$&gt;\f!)H"</f>
        <v>#REF!</v>
      </c>
      <c r="BL3" t="e">
        <f>#REF!-"$&gt;\f!)I"</f>
        <v>#REF!</v>
      </c>
      <c r="BM3" t="e">
        <f>#REF!-"$&gt;\f!)J"</f>
        <v>#REF!</v>
      </c>
      <c r="BN3" t="e">
        <f>#REF!-"$&gt;\f!)K"</f>
        <v>#REF!</v>
      </c>
      <c r="BO3" t="e">
        <f>#REF!-"$&gt;\f!)L"</f>
        <v>#REF!</v>
      </c>
      <c r="BP3" t="e">
        <f>#REF!-"$&gt;\f!)M"</f>
        <v>#REF!</v>
      </c>
      <c r="BQ3" t="e">
        <f>#REF!-"$&gt;\f!)N"</f>
        <v>#REF!</v>
      </c>
      <c r="BR3" t="e">
        <f>#REF!-"$&gt;\f!)O"</f>
        <v>#REF!</v>
      </c>
      <c r="BS3" t="e">
        <f>#REF!-"$&gt;\f!)P"</f>
        <v>#REF!</v>
      </c>
      <c r="BT3" t="e">
        <f>#REF!-"$&gt;\f!)Q"</f>
        <v>#REF!</v>
      </c>
      <c r="BU3" t="e">
        <f>#REF!-"$&gt;\f!)R"</f>
        <v>#REF!</v>
      </c>
      <c r="BV3" t="e">
        <f>#REF!-"$&gt;\f!)S"</f>
        <v>#REF!</v>
      </c>
      <c r="BW3" t="e">
        <f>#REF!-"$&gt;\f!)T"</f>
        <v>#REF!</v>
      </c>
      <c r="BX3" t="e">
        <f>#REF!-"$&gt;\f!)U"</f>
        <v>#REF!</v>
      </c>
      <c r="BY3" t="e">
        <f>#REF!-"$&gt;\f!)V"</f>
        <v>#REF!</v>
      </c>
      <c r="BZ3" t="e">
        <f>#REF!-"$&gt;\f!)W"</f>
        <v>#REF!</v>
      </c>
      <c r="CA3" t="e">
        <f>#REF!-"$&gt;\f!)X"</f>
        <v>#REF!</v>
      </c>
      <c r="CB3" t="e">
        <f>#REF!-"$&gt;\f!)Y"</f>
        <v>#REF!</v>
      </c>
      <c r="CC3" t="e">
        <f>#REF!-"$&gt;\f!)Z"</f>
        <v>#REF!</v>
      </c>
      <c r="CD3" t="e">
        <f>#REF!-"$&gt;\f!)["</f>
        <v>#REF!</v>
      </c>
      <c r="CE3" t="e">
        <f>#REF!-"$&gt;\f!)\"</f>
        <v>#REF!</v>
      </c>
      <c r="CF3" t="e">
        <f>#REF!-"$&gt;\f!)]"</f>
        <v>#REF!</v>
      </c>
      <c r="CG3" t="e">
        <f>#REF!-"$&gt;\f!)^"</f>
        <v>#REF!</v>
      </c>
      <c r="CH3" t="e">
        <f>#REF!-"$&gt;\f!)_"</f>
        <v>#REF!</v>
      </c>
      <c r="CI3" t="e">
        <f>#REF!-"$&gt;\f!)`"</f>
        <v>#REF!</v>
      </c>
      <c r="CJ3" t="e">
        <f>#REF!-"$&gt;\f!)a"</f>
        <v>#REF!</v>
      </c>
      <c r="CK3" t="e">
        <f>#REF!-"$&gt;\f!)b"</f>
        <v>#REF!</v>
      </c>
      <c r="CL3" t="e">
        <f>#REF!-"$&gt;\f!)c"</f>
        <v>#REF!</v>
      </c>
      <c r="CM3" t="e">
        <f>#REF!-"$&gt;\f!)d"</f>
        <v>#REF!</v>
      </c>
      <c r="CN3" t="e">
        <f>#REF!-"$&gt;\f!)e"</f>
        <v>#REF!</v>
      </c>
      <c r="CO3" t="e">
        <f>#REF!-"$&gt;\f!)f"</f>
        <v>#REF!</v>
      </c>
      <c r="CP3" t="e">
        <f>#REF!-"$&gt;\f!)g"</f>
        <v>#REF!</v>
      </c>
      <c r="CQ3" t="e">
        <f>#REF!-"$&gt;\f!)h"</f>
        <v>#REF!</v>
      </c>
      <c r="CR3" t="e">
        <f>#REF!-"$&gt;\f!)i"</f>
        <v>#REF!</v>
      </c>
      <c r="CS3" t="e">
        <f>#REF!-"$&gt;\f!)j"</f>
        <v>#REF!</v>
      </c>
      <c r="CT3" t="e">
        <f>#REF!-"$&gt;\f!)k"</f>
        <v>#REF!</v>
      </c>
      <c r="CU3" t="e">
        <f>#REF!-"$&gt;\f!)l"</f>
        <v>#REF!</v>
      </c>
      <c r="CV3" t="e">
        <f>#REF!-"$&gt;\f!)m"</f>
        <v>#REF!</v>
      </c>
      <c r="CW3" t="e">
        <f>#REF!-"$&gt;\f!)n"</f>
        <v>#REF!</v>
      </c>
      <c r="CX3" t="e">
        <f>#REF!-"$&gt;\f!)o"</f>
        <v>#REF!</v>
      </c>
      <c r="CY3" t="e">
        <f>#REF!-"$&gt;\f!)p"</f>
        <v>#REF!</v>
      </c>
      <c r="CZ3" t="e">
        <f>#REF!-"$&gt;\f!)q"</f>
        <v>#REF!</v>
      </c>
      <c r="DA3" t="e">
        <f>#REF!-"$&gt;\f!)r"</f>
        <v>#REF!</v>
      </c>
      <c r="DB3" t="e">
        <f>#REF!-"$&gt;\f!)s"</f>
        <v>#REF!</v>
      </c>
      <c r="DC3" t="e">
        <f>#REF!-"$&gt;\f!)t"</f>
        <v>#REF!</v>
      </c>
      <c r="DD3" t="e">
        <f>#REF!-"$&gt;\f!)u"</f>
        <v>#REF!</v>
      </c>
      <c r="DE3" t="e">
        <f>#REF!-"$&gt;\f!)v"</f>
        <v>#REF!</v>
      </c>
      <c r="DF3" t="e">
        <f>#REF!-"$&gt;\f!)w"</f>
        <v>#REF!</v>
      </c>
      <c r="DG3" t="e">
        <f>#REF!-"$&gt;\f!)x"</f>
        <v>#REF!</v>
      </c>
      <c r="DH3" t="e">
        <f>#REF!-"$&gt;\f!)y"</f>
        <v>#REF!</v>
      </c>
      <c r="DI3" t="e">
        <f>#REF!-"$&gt;\f!)z"</f>
        <v>#REF!</v>
      </c>
      <c r="DJ3" t="e">
        <f>#REF!-"$&gt;\f!){"</f>
        <v>#REF!</v>
      </c>
      <c r="DK3" t="e">
        <f>#REF!-"$&gt;\f!)|"</f>
        <v>#REF!</v>
      </c>
      <c r="DL3" t="e">
        <f>#REF!-"$&gt;\f!)}"</f>
        <v>#REF!</v>
      </c>
      <c r="DM3" t="e">
        <f>#REF!-"$&gt;\f!)~"</f>
        <v>#REF!</v>
      </c>
      <c r="DN3" t="e">
        <f>#REF!-"$&gt;\f!.#"</f>
        <v>#REF!</v>
      </c>
      <c r="DO3" t="e">
        <f>#REF!-"$&gt;\f!.$"</f>
        <v>#REF!</v>
      </c>
      <c r="DP3" t="e">
        <f>#REF!-"$&gt;\f!.%"</f>
        <v>#REF!</v>
      </c>
      <c r="DQ3" t="e">
        <f>#REF!-"$&gt;\f!.&amp;"</f>
        <v>#REF!</v>
      </c>
      <c r="DR3" t="e">
        <f>#REF!-"$&gt;\f!.'"</f>
        <v>#REF!</v>
      </c>
      <c r="DS3" t="e">
        <f>#REF!-"$&gt;\f!.("</f>
        <v>#REF!</v>
      </c>
      <c r="DT3" t="e">
        <f>#REF!-"$&gt;\f!.)"</f>
        <v>#REF!</v>
      </c>
      <c r="DU3" t="e">
        <f>#REF!-"$&gt;\f!.."</f>
        <v>#REF!</v>
      </c>
      <c r="DV3" t="e">
        <f>#REF!-"$&gt;\f!./"</f>
        <v>#REF!</v>
      </c>
      <c r="DW3" t="e">
        <f>#REF!-"$&gt;\f!.0"</f>
        <v>#REF!</v>
      </c>
      <c r="DX3" t="e">
        <f>#REF!-"$&gt;\f!.1"</f>
        <v>#REF!</v>
      </c>
      <c r="DY3" t="e">
        <f>#REF!-"$&gt;\f!.2"</f>
        <v>#REF!</v>
      </c>
      <c r="DZ3" t="e">
        <f>#REF!-"$&gt;\f!.3"</f>
        <v>#REF!</v>
      </c>
      <c r="EA3" t="e">
        <f>#REF!-"$&gt;\f!.4"</f>
        <v>#REF!</v>
      </c>
      <c r="EB3" t="e">
        <f>#REF!-"$&gt;\f!.5"</f>
        <v>#REF!</v>
      </c>
      <c r="EC3" t="e">
        <f>#REF!-"$&gt;\f!.6"</f>
        <v>#REF!</v>
      </c>
      <c r="ED3" t="e">
        <f>#REF!-"$&gt;\f!.7"</f>
        <v>#REF!</v>
      </c>
      <c r="EE3" t="e">
        <f>#REF!-"$&gt;\f!.8"</f>
        <v>#REF!</v>
      </c>
      <c r="EF3" t="e">
        <f>#REF!-"$&gt;\f!.9"</f>
        <v>#REF!</v>
      </c>
      <c r="EG3" t="e">
        <f>#REF!-"$&gt;\f!.:"</f>
        <v>#REF!</v>
      </c>
      <c r="EH3" t="e">
        <f>#REF!-"$&gt;\f!.;"</f>
        <v>#REF!</v>
      </c>
      <c r="EI3" t="e">
        <f>#REF!-"$&gt;\f!.&lt;"</f>
        <v>#REF!</v>
      </c>
      <c r="EJ3" t="e">
        <f>#REF!-"$&gt;\f!.="</f>
        <v>#REF!</v>
      </c>
      <c r="EK3" t="e">
        <f>#REF!-"$&gt;\f!.&gt;"</f>
        <v>#REF!</v>
      </c>
      <c r="EL3" t="e">
        <f>#REF!-"$&gt;\f!.?"</f>
        <v>#REF!</v>
      </c>
      <c r="EM3" t="e">
        <f>#REF!-"$&gt;\f!.@"</f>
        <v>#REF!</v>
      </c>
      <c r="EN3" t="e">
        <f>#REF!-"$&gt;\f!.A"</f>
        <v>#REF!</v>
      </c>
      <c r="EO3" t="e">
        <f>#REF!+"$&gt;\f!.B"</f>
        <v>#REF!</v>
      </c>
      <c r="EP3" t="e">
        <f>#REF!+"$&gt;\f!.C"</f>
        <v>#REF!</v>
      </c>
      <c r="EQ3" t="e">
        <f>#REF!+"$&gt;\f!.D"</f>
        <v>#REF!</v>
      </c>
      <c r="ER3" t="e">
        <f>#REF!+"$&gt;\f!.E"</f>
        <v>#REF!</v>
      </c>
      <c r="ES3" t="e">
        <f>#REF!+"$&gt;\f!.F"</f>
        <v>#REF!</v>
      </c>
      <c r="ET3" t="e">
        <f>#REF!+"$&gt;\f!.G"</f>
        <v>#REF!</v>
      </c>
      <c r="EU3" t="e">
        <f>#REF!+"$&gt;\f!.H"</f>
        <v>#REF!</v>
      </c>
      <c r="EV3" t="e">
        <f>#REF!+"$&gt;\f!.I"</f>
        <v>#REF!</v>
      </c>
      <c r="EW3" t="e">
        <f>#REF!+"$&gt;\f!.J"</f>
        <v>#REF!</v>
      </c>
      <c r="EX3" t="e">
        <f>#REF!+"$&gt;\f!.K"</f>
        <v>#REF!</v>
      </c>
      <c r="EY3" t="e">
        <f>#REF!+"$&gt;\f!.L"</f>
        <v>#REF!</v>
      </c>
      <c r="EZ3" t="e">
        <f>#REF!+"$&gt;\f!.M"</f>
        <v>#REF!</v>
      </c>
      <c r="FA3" t="e">
        <f>#REF!+"$&gt;\f!.N"</f>
        <v>#REF!</v>
      </c>
      <c r="FB3" t="e">
        <f>#REF!+"$&gt;\f!.O"</f>
        <v>#REF!</v>
      </c>
      <c r="FC3" t="e">
        <f>#REF!+"$&gt;\f!.P"</f>
        <v>#REF!</v>
      </c>
      <c r="FD3" t="e">
        <f>#REF!+"$&gt;\f!.Q"</f>
        <v>#REF!</v>
      </c>
      <c r="FE3" t="e">
        <f>#REF!+"$&gt;\f!.R"</f>
        <v>#REF!</v>
      </c>
      <c r="FF3" t="e">
        <f>#REF!+"$&gt;\f!.S"</f>
        <v>#REF!</v>
      </c>
      <c r="FG3" t="e">
        <f>#REF!+"$&gt;\f!.T"</f>
        <v>#REF!</v>
      </c>
      <c r="FH3" t="e">
        <f>#REF!+"$&gt;\f!.U"</f>
        <v>#REF!</v>
      </c>
      <c r="FI3" t="e">
        <f>#REF!+"$&gt;\f!.V"</f>
        <v>#REF!</v>
      </c>
      <c r="FJ3" t="e">
        <f>#REF!+"$&gt;\f!.W"</f>
        <v>#REF!</v>
      </c>
      <c r="FK3" t="e">
        <f>#REF!+"$&gt;\f!.X"</f>
        <v>#REF!</v>
      </c>
      <c r="FL3" t="e">
        <f>#REF!+"$&gt;\f!.Y"</f>
        <v>#REF!</v>
      </c>
      <c r="FM3" t="e">
        <f>#REF!+"$&gt;\f!.Z"</f>
        <v>#REF!</v>
      </c>
      <c r="FN3" t="e">
        <f>#REF!+"$&gt;\f!.["</f>
        <v>#REF!</v>
      </c>
      <c r="FO3" t="e">
        <f>#REF!+"$&gt;\f!.\"</f>
        <v>#REF!</v>
      </c>
      <c r="FP3" t="e">
        <f>#REF!+"$&gt;\f!.]"</f>
        <v>#REF!</v>
      </c>
      <c r="FQ3" t="e">
        <f>#REF!+"$&gt;\f!.^"</f>
        <v>#REF!</v>
      </c>
      <c r="FR3" t="e">
        <f>#REF!+"$&gt;\f!._"</f>
        <v>#REF!</v>
      </c>
      <c r="FS3" t="e">
        <f>#REF!+"$&gt;\f!.`"</f>
        <v>#REF!</v>
      </c>
      <c r="FT3" t="e">
        <f>#REF!+"$&gt;\f!.a"</f>
        <v>#REF!</v>
      </c>
      <c r="FU3" t="e">
        <f>#REF!+"$&gt;\f!.b"</f>
        <v>#REF!</v>
      </c>
      <c r="FV3" t="e">
        <f>#REF!+"$&gt;\f!.c"</f>
        <v>#REF!</v>
      </c>
      <c r="FW3" t="e">
        <f>#REF!+"$&gt;\f!.d"</f>
        <v>#REF!</v>
      </c>
      <c r="FX3" t="e">
        <f>#REF!+"$&gt;\f!.e"</f>
        <v>#REF!</v>
      </c>
      <c r="FY3" t="e">
        <f>#REF!+"$&gt;\f!.f"</f>
        <v>#REF!</v>
      </c>
      <c r="FZ3" t="e">
        <f>#REF!+"$&gt;\f!.g"</f>
        <v>#REF!</v>
      </c>
      <c r="GA3" t="e">
        <f>#REF!+"$&gt;\f!.h"</f>
        <v>#REF!</v>
      </c>
      <c r="GB3" t="e">
        <f>#REF!+"$&gt;\f!.i"</f>
        <v>#REF!</v>
      </c>
      <c r="GC3" t="e">
        <f>#REF!+"$&gt;\f!.j"</f>
        <v>#REF!</v>
      </c>
      <c r="GD3" t="e">
        <f>#REF!+"$&gt;\f!.k"</f>
        <v>#REF!</v>
      </c>
      <c r="GE3" t="e">
        <f>#REF!+"$&gt;\f!.l"</f>
        <v>#REF!</v>
      </c>
      <c r="GF3" t="e">
        <f>#REF!+"$&gt;\f!.m"</f>
        <v>#REF!</v>
      </c>
      <c r="GG3" t="e">
        <f>#REF!+"$&gt;\f!.n"</f>
        <v>#REF!</v>
      </c>
      <c r="GH3" t="e">
        <f>#REF!+"$&gt;\f!.o"</f>
        <v>#REF!</v>
      </c>
      <c r="GI3" t="e">
        <f>#REF!+"$&gt;\f!.p"</f>
        <v>#REF!</v>
      </c>
      <c r="GJ3" t="e">
        <f>#REF!+"$&gt;\f!.q"</f>
        <v>#REF!</v>
      </c>
      <c r="GK3" t="e">
        <f>#REF!+"$&gt;\f!.r"</f>
        <v>#REF!</v>
      </c>
      <c r="GL3" t="e">
        <f>#REF!+"$&gt;\f!.s"</f>
        <v>#REF!</v>
      </c>
      <c r="GM3" t="e">
        <f>#REF!+"$&gt;\f!.t"</f>
        <v>#REF!</v>
      </c>
      <c r="GN3" t="e">
        <f>#REF!+"$&gt;\f!.u"</f>
        <v>#REF!</v>
      </c>
      <c r="GO3" t="e">
        <f>#REF!+"$&gt;\f!.v"</f>
        <v>#REF!</v>
      </c>
      <c r="GP3" t="e">
        <f>#REF!+"$&gt;\f!.w"</f>
        <v>#REF!</v>
      </c>
      <c r="GQ3" t="e">
        <f>#REF!+"$&gt;\f!.x"</f>
        <v>#REF!</v>
      </c>
      <c r="GR3" t="e">
        <f>#REF!+"$&gt;\f!.y"</f>
        <v>#REF!</v>
      </c>
      <c r="GS3" t="e">
        <f>#REF!+"$&gt;\f!.z"</f>
        <v>#REF!</v>
      </c>
      <c r="GT3" t="e">
        <f>#REF!+"$&gt;\f!.{"</f>
        <v>#REF!</v>
      </c>
      <c r="GU3" t="e">
        <f>#REF!+"$&gt;\f!.|"</f>
        <v>#REF!</v>
      </c>
      <c r="GV3" t="e">
        <f>#REF!+"$&gt;\f!.}"</f>
        <v>#REF!</v>
      </c>
      <c r="GW3" t="e">
        <f>#REF!+"$&gt;\f!.~"</f>
        <v>#REF!</v>
      </c>
      <c r="GX3" t="e">
        <f>#REF!+"$&gt;\f!/#"</f>
        <v>#REF!</v>
      </c>
      <c r="GY3" t="e">
        <f>#REF!+"$&gt;\f!/$"</f>
        <v>#REF!</v>
      </c>
      <c r="GZ3" t="e">
        <f>#REF!+"$&gt;\f!/%"</f>
        <v>#REF!</v>
      </c>
      <c r="HA3" t="e">
        <f>#REF!+"$&gt;\f!/&amp;"</f>
        <v>#REF!</v>
      </c>
      <c r="HB3" t="e">
        <f>#REF!+"$&gt;\f!/'"</f>
        <v>#REF!</v>
      </c>
      <c r="HC3" t="e">
        <f>#REF!+"$&gt;\f!/("</f>
        <v>#REF!</v>
      </c>
      <c r="HD3" t="e">
        <f>#REF!+"$&gt;\f!/)"</f>
        <v>#REF!</v>
      </c>
      <c r="HE3" t="e">
        <f>#REF!+"$&gt;\f!/."</f>
        <v>#REF!</v>
      </c>
      <c r="HF3" t="e">
        <f>#REF!+"$&gt;\f!//"</f>
        <v>#REF!</v>
      </c>
      <c r="HG3" t="e">
        <f>#REF!+"$&gt;\f!/0"</f>
        <v>#REF!</v>
      </c>
      <c r="HH3" t="e">
        <f>#REF!+"$&gt;\f!/1"</f>
        <v>#REF!</v>
      </c>
      <c r="HI3" t="e">
        <f>#REF!+"$&gt;\f!/2"</f>
        <v>#REF!</v>
      </c>
      <c r="HJ3" t="e">
        <f>#REF!+"$&gt;\f!/3"</f>
        <v>#REF!</v>
      </c>
      <c r="HK3" t="e">
        <f>#REF!+"$&gt;\f!/4"</f>
        <v>#REF!</v>
      </c>
      <c r="HL3" t="e">
        <f>#REF!+"$&gt;\f!/5"</f>
        <v>#REF!</v>
      </c>
      <c r="HM3" t="e">
        <f>#REF!+"$&gt;\f!/6"</f>
        <v>#REF!</v>
      </c>
      <c r="HN3" t="e">
        <f>#REF!+"$&gt;\f!/7"</f>
        <v>#REF!</v>
      </c>
      <c r="HO3" t="e">
        <f>#REF!+"$&gt;\f!/8"</f>
        <v>#REF!</v>
      </c>
      <c r="HP3" t="e">
        <f>#REF!+"$&gt;\f!/9"</f>
        <v>#REF!</v>
      </c>
      <c r="HQ3" t="e">
        <f>#REF!+"$&gt;\f!/:"</f>
        <v>#REF!</v>
      </c>
      <c r="HR3" t="e">
        <f>#REF!+"$&gt;\f!/;"</f>
        <v>#REF!</v>
      </c>
      <c r="HS3" t="e">
        <f>#REF!+"$&gt;\f!/&lt;"</f>
        <v>#REF!</v>
      </c>
      <c r="HT3" t="e">
        <f>#REF!+"$&gt;\f!/="</f>
        <v>#REF!</v>
      </c>
      <c r="HU3" t="e">
        <f>#REF!+"$&gt;\f!/&gt;"</f>
        <v>#REF!</v>
      </c>
      <c r="HV3" t="e">
        <f>#REF!+"$&gt;\f!/?"</f>
        <v>#REF!</v>
      </c>
      <c r="HW3" t="e">
        <f>#REF!+"$&gt;\f!/@"</f>
        <v>#REF!</v>
      </c>
      <c r="HX3" t="e">
        <f>#REF!+"$&gt;\f!/A"</f>
        <v>#REF!</v>
      </c>
      <c r="HY3" t="e">
        <f>#REF!+"$&gt;\f!/B"</f>
        <v>#REF!</v>
      </c>
      <c r="HZ3" t="e">
        <f>#REF!+"$&gt;\f!/C"</f>
        <v>#REF!</v>
      </c>
      <c r="IA3" t="e">
        <f>#REF!+"$&gt;\f!/D"</f>
        <v>#REF!</v>
      </c>
      <c r="IB3" t="e">
        <f>#REF!+"$&gt;\f!/E"</f>
        <v>#REF!</v>
      </c>
      <c r="IC3" t="e">
        <f>#REF!+"$&gt;\f!/F"</f>
        <v>#REF!</v>
      </c>
      <c r="ID3" t="e">
        <f>#REF!+"$&gt;\f!/G"</f>
        <v>#REF!</v>
      </c>
      <c r="IE3" t="e">
        <f>#REF!+"$&gt;\f!/H"</f>
        <v>#REF!</v>
      </c>
      <c r="IF3" t="e">
        <f>#REF!+"$&gt;\f!/I"</f>
        <v>#REF!</v>
      </c>
      <c r="IG3" t="e">
        <f>#REF!+"$&gt;\f!/J"</f>
        <v>#REF!</v>
      </c>
      <c r="IH3" t="e">
        <f>#REF!+"$&gt;\f!/K"</f>
        <v>#REF!</v>
      </c>
      <c r="II3" t="e">
        <f>#REF!+"$&gt;\f!/L"</f>
        <v>#REF!</v>
      </c>
      <c r="IJ3" t="e">
        <f>#REF!+"$&gt;\f!/M"</f>
        <v>#REF!</v>
      </c>
      <c r="IK3" t="e">
        <f>#REF!+"$&gt;\f!/N"</f>
        <v>#REF!</v>
      </c>
      <c r="IL3" t="e">
        <f>#REF!+"$&gt;\f!/O"</f>
        <v>#REF!</v>
      </c>
      <c r="IM3" t="e">
        <f>#REF!+"$&gt;\f!/P"</f>
        <v>#REF!</v>
      </c>
      <c r="IN3" t="e">
        <f>#REF!+"$&gt;\f!/Q"</f>
        <v>#REF!</v>
      </c>
      <c r="IO3" t="e">
        <f>#REF!+"$&gt;\f!/R"</f>
        <v>#REF!</v>
      </c>
      <c r="IP3" t="e">
        <f>#REF!+"$&gt;\f!/S"</f>
        <v>#REF!</v>
      </c>
      <c r="IQ3" t="e">
        <f>#REF!+"$&gt;\f!/T"</f>
        <v>#REF!</v>
      </c>
      <c r="IR3" t="e">
        <f>#REF!+"$&gt;\f!/U"</f>
        <v>#REF!</v>
      </c>
      <c r="IS3" t="e">
        <f>#REF!+"$&gt;\f!/V"</f>
        <v>#REF!</v>
      </c>
      <c r="IT3" t="e">
        <f>#REF!+"$&gt;\f!/W"</f>
        <v>#REF!</v>
      </c>
      <c r="IU3" t="e">
        <f>#REF!+"$&gt;\f!/X"</f>
        <v>#REF!</v>
      </c>
      <c r="IV3" t="e">
        <f>#REF!+"$&gt;\f!/Y"</f>
        <v>#REF!</v>
      </c>
    </row>
    <row r="4" spans="1:256" x14ac:dyDescent="0.25">
      <c r="F4" t="e">
        <f>#REF!+"$&gt;\f!/Z"</f>
        <v>#REF!</v>
      </c>
      <c r="G4" t="e">
        <f>#REF!+"$&gt;\f!/["</f>
        <v>#REF!</v>
      </c>
      <c r="H4" t="e">
        <f>#REF!+"$&gt;\f!/\"</f>
        <v>#REF!</v>
      </c>
      <c r="I4" t="e">
        <f>#REF!+"$&gt;\f!/]"</f>
        <v>#REF!</v>
      </c>
      <c r="J4" t="e">
        <f>#REF!+"$&gt;\f!/^"</f>
        <v>#REF!</v>
      </c>
      <c r="K4" t="e">
        <f>#REF!+"$&gt;\f!/_"</f>
        <v>#REF!</v>
      </c>
      <c r="L4" t="e">
        <f>#REF!+"$&gt;\f!/`"</f>
        <v>#REF!</v>
      </c>
      <c r="M4" t="e">
        <f>#REF!+"$&gt;\f!/a"</f>
        <v>#REF!</v>
      </c>
      <c r="N4" t="e">
        <f>#REF!+"$&gt;\f!/b"</f>
        <v>#REF!</v>
      </c>
      <c r="O4" t="e">
        <f>#REF!+"$&gt;\f!/c"</f>
        <v>#REF!</v>
      </c>
      <c r="P4" t="e">
        <f>#REF!+"$&gt;\f!/d"</f>
        <v>#REF!</v>
      </c>
      <c r="Q4" t="e">
        <f>#REF!+"$&gt;\f!/e"</f>
        <v>#REF!</v>
      </c>
      <c r="R4" t="e">
        <f>#REF!+"$&gt;\f!/f"</f>
        <v>#REF!</v>
      </c>
      <c r="S4" t="e">
        <f>#REF!+"$&gt;\f!/g"</f>
        <v>#REF!</v>
      </c>
      <c r="T4" t="e">
        <f>#REF!+"$&gt;\f!/h"</f>
        <v>#REF!</v>
      </c>
      <c r="U4" t="e">
        <f>#REF!+"$&gt;\f!/i"</f>
        <v>#REF!</v>
      </c>
      <c r="V4" t="e">
        <f>#REF!+"$&gt;\f!/j"</f>
        <v>#REF!</v>
      </c>
      <c r="W4" t="e">
        <f>#REF!+"$&gt;\f!/k"</f>
        <v>#REF!</v>
      </c>
      <c r="X4" t="e">
        <f>#REF!+"$&gt;\f!/l"</f>
        <v>#REF!</v>
      </c>
      <c r="Y4" t="e">
        <f>#REF!+"$&gt;\f!/m"</f>
        <v>#REF!</v>
      </c>
      <c r="Z4" t="e">
        <f>#REF!+"$&gt;\f!/n"</f>
        <v>#REF!</v>
      </c>
      <c r="AA4" t="e">
        <f>#REF!+"$&gt;\f!/o"</f>
        <v>#REF!</v>
      </c>
      <c r="AB4" t="e">
        <f>#REF!+"$&gt;\f!/p"</f>
        <v>#REF!</v>
      </c>
      <c r="AC4" t="e">
        <f>#REF!+"$&gt;\f!/q"</f>
        <v>#REF!</v>
      </c>
      <c r="AD4" t="e">
        <f>#REF!+"$&gt;\f!/r"</f>
        <v>#REF!</v>
      </c>
      <c r="AE4" t="e">
        <f>#REF!+"$&gt;\f!/s"</f>
        <v>#REF!</v>
      </c>
      <c r="AF4" t="e">
        <f>#REF!+"$&gt;\f!/t"</f>
        <v>#REF!</v>
      </c>
      <c r="AG4" t="e">
        <f>#REF!+"$&gt;\f!/u"</f>
        <v>#REF!</v>
      </c>
      <c r="AH4" t="e">
        <f>#REF!+"$&gt;\f!/v"</f>
        <v>#REF!</v>
      </c>
      <c r="AI4" t="e">
        <f>#REF!+"$&gt;\f!/w"</f>
        <v>#REF!</v>
      </c>
      <c r="AJ4" t="e">
        <f>#REF!+"$&gt;\f!/x"</f>
        <v>#REF!</v>
      </c>
      <c r="AK4" t="e">
        <f>#REF!+"$&gt;\f!/y"</f>
        <v>#REF!</v>
      </c>
      <c r="AL4" t="e">
        <f>#REF!+"$&gt;\f!/z"</f>
        <v>#REF!</v>
      </c>
      <c r="AM4" t="e">
        <f>#REF!+"$&gt;\f!/{"</f>
        <v>#REF!</v>
      </c>
      <c r="AN4" t="e">
        <f>#REF!+"$&gt;\f!/|"</f>
        <v>#REF!</v>
      </c>
      <c r="AO4" t="e">
        <f>#REF!+"$&gt;\f!/}"</f>
        <v>#REF!</v>
      </c>
      <c r="AP4" t="e">
        <f>#REF!+"$&gt;\f!/~"</f>
        <v>#REF!</v>
      </c>
      <c r="AQ4" t="e">
        <f>#REF!+"$&gt;\f!0#"</f>
        <v>#REF!</v>
      </c>
      <c r="AR4" t="e">
        <f>#REF!+"$&gt;\f!0$"</f>
        <v>#REF!</v>
      </c>
      <c r="AS4" t="e">
        <f>#REF!+"$&gt;\f!0%"</f>
        <v>#REF!</v>
      </c>
      <c r="AT4" t="e">
        <f>#REF!+"$&gt;\f!0&amp;"</f>
        <v>#REF!</v>
      </c>
      <c r="AU4" t="e">
        <f>#REF!+"$&gt;\f!0'"</f>
        <v>#REF!</v>
      </c>
      <c r="AV4" t="e">
        <f>#REF!+"$&gt;\f!0("</f>
        <v>#REF!</v>
      </c>
      <c r="AW4" t="e">
        <f>#REF!+"$&gt;\f!0)"</f>
        <v>#REF!</v>
      </c>
      <c r="AX4" t="e">
        <f>#REF!+"$&gt;\f!0."</f>
        <v>#REF!</v>
      </c>
      <c r="AY4" t="e">
        <f>#REF!+"$&gt;\f!0/"</f>
        <v>#REF!</v>
      </c>
      <c r="AZ4" t="e">
        <f>#REF!+"$&gt;\f!00"</f>
        <v>#REF!</v>
      </c>
      <c r="BA4" t="e">
        <f>#REF!+"$&gt;\f!01"</f>
        <v>#REF!</v>
      </c>
      <c r="BB4" t="e">
        <f>#REF!+"$&gt;\f!02"</f>
        <v>#REF!</v>
      </c>
      <c r="BC4" t="e">
        <f>#REF!+"$&gt;\f!03"</f>
        <v>#REF!</v>
      </c>
      <c r="BD4" t="e">
        <f>#REF!+"$&gt;\f!04"</f>
        <v>#REF!</v>
      </c>
      <c r="BE4" t="e">
        <f>#REF!+"$&gt;\f!05"</f>
        <v>#REF!</v>
      </c>
      <c r="BF4" t="e">
        <f>#REF!+"$&gt;\f!06"</f>
        <v>#REF!</v>
      </c>
      <c r="BG4" t="e">
        <f>#REF!+"$&gt;\f!07"</f>
        <v>#REF!</v>
      </c>
      <c r="BH4" t="e">
        <f>#REF!+"$&gt;\f!08"</f>
        <v>#REF!</v>
      </c>
      <c r="BI4" t="e">
        <f>#REF!+"$&gt;\f!09"</f>
        <v>#REF!</v>
      </c>
      <c r="BJ4" t="e">
        <f>#REF!+"$&gt;\f!0:"</f>
        <v>#REF!</v>
      </c>
      <c r="BK4" t="e">
        <f>#REF!+"$&gt;\f!0;"</f>
        <v>#REF!</v>
      </c>
      <c r="BL4" t="e">
        <f>#REF!+"$&gt;\f!0&lt;"</f>
        <v>#REF!</v>
      </c>
      <c r="BM4" t="e">
        <f>#REF!+"$&gt;\f!0="</f>
        <v>#REF!</v>
      </c>
      <c r="BN4" t="e">
        <f>#REF!+"$&gt;\f!0&gt;"</f>
        <v>#REF!</v>
      </c>
      <c r="BO4" t="e">
        <f>#REF!+"$&gt;\f!0?"</f>
        <v>#REF!</v>
      </c>
      <c r="BP4" t="e">
        <f>#REF!+"$&gt;\f!0@"</f>
        <v>#REF!</v>
      </c>
      <c r="BQ4" t="e">
        <f>#REF!+"$&gt;\f!0A"</f>
        <v>#REF!</v>
      </c>
      <c r="BR4" t="e">
        <f>#REF!+"$&gt;\f!0B"</f>
        <v>#REF!</v>
      </c>
      <c r="BS4" t="e">
        <f>#REF!+"$&gt;\f!0C"</f>
        <v>#REF!</v>
      </c>
      <c r="BT4" t="e">
        <f>#REF!+"$&gt;\f!0D"</f>
        <v>#REF!</v>
      </c>
      <c r="BU4" t="e">
        <f>#REF!+"$&gt;\f!0E"</f>
        <v>#REF!</v>
      </c>
      <c r="BV4" t="e">
        <f>#REF!+"$&gt;\f!0F"</f>
        <v>#REF!</v>
      </c>
      <c r="BW4" t="e">
        <f>#REF!+"$&gt;\f!0G"</f>
        <v>#REF!</v>
      </c>
      <c r="BX4" t="e">
        <f>#REF!+"$&gt;\f!0H"</f>
        <v>#REF!</v>
      </c>
      <c r="BY4" t="e">
        <f>#REF!+"$&gt;\f!0I"</f>
        <v>#REF!</v>
      </c>
      <c r="BZ4" t="e">
        <f>#REF!+"$&gt;\f!0J"</f>
        <v>#REF!</v>
      </c>
      <c r="CA4" t="e">
        <f>#REF!+"$&gt;\f!0K"</f>
        <v>#REF!</v>
      </c>
      <c r="CB4" t="e">
        <f>#REF!+"$&gt;\f!0L"</f>
        <v>#REF!</v>
      </c>
      <c r="CC4" t="e">
        <f>#REF!+"$&gt;\f!0M"</f>
        <v>#REF!</v>
      </c>
      <c r="CD4" t="e">
        <f>#REF!+"$&gt;\f!0N"</f>
        <v>#REF!</v>
      </c>
      <c r="CE4" t="e">
        <f>#REF!+"$&gt;\f!0O"</f>
        <v>#REF!</v>
      </c>
      <c r="CF4" t="e">
        <f>#REF!+"$&gt;\f!0P"</f>
        <v>#REF!</v>
      </c>
      <c r="CG4" t="e">
        <f>#REF!+"$&gt;\f!0Q"</f>
        <v>#REF!</v>
      </c>
      <c r="CH4" t="e">
        <f>#REF!+"$&gt;\f!0R"</f>
        <v>#REF!</v>
      </c>
      <c r="CI4" t="e">
        <f>#REF!+"$&gt;\f!0S"</f>
        <v>#REF!</v>
      </c>
      <c r="CJ4" t="e">
        <f>#REF!+"$&gt;\f!0T"</f>
        <v>#REF!</v>
      </c>
      <c r="CK4" t="e">
        <f>#REF!+"$&gt;\f!0U"</f>
        <v>#REF!</v>
      </c>
      <c r="CL4" t="e">
        <f>#REF!+"$&gt;\f!0V"</f>
        <v>#REF!</v>
      </c>
      <c r="CM4" t="e">
        <f>#REF!+"$&gt;\f!0W"</f>
        <v>#REF!</v>
      </c>
      <c r="CN4" t="e">
        <f>#REF!+"$&gt;\f!0X"</f>
        <v>#REF!</v>
      </c>
      <c r="CO4" t="e">
        <f>#REF!+"$&gt;\f!0Y"</f>
        <v>#REF!</v>
      </c>
      <c r="CP4" t="e">
        <f>#REF!+"$&gt;\f!0Z"</f>
        <v>#REF!</v>
      </c>
      <c r="CQ4" t="e">
        <f>#REF!+"$&gt;\f!0["</f>
        <v>#REF!</v>
      </c>
      <c r="CR4" t="e">
        <f>#REF!+"$&gt;\f!0\"</f>
        <v>#REF!</v>
      </c>
      <c r="CS4" t="e">
        <f>#REF!+"$&gt;\f!0]"</f>
        <v>#REF!</v>
      </c>
      <c r="CT4" t="e">
        <f>#REF!+"$&gt;\f!0^"</f>
        <v>#REF!</v>
      </c>
      <c r="CU4" t="e">
        <f>#REF!+"$&gt;\f!0_"</f>
        <v>#REF!</v>
      </c>
      <c r="CV4" t="e">
        <f>#REF!+"$&gt;\f!0`"</f>
        <v>#REF!</v>
      </c>
      <c r="CW4" t="e">
        <f>#REF!+"$&gt;\f!0a"</f>
        <v>#REF!</v>
      </c>
      <c r="CX4" t="e">
        <f>#REF!+"$&gt;\f!0b"</f>
        <v>#REF!</v>
      </c>
      <c r="CY4" t="e">
        <f>#REF!+"$&gt;\f!0c"</f>
        <v>#REF!</v>
      </c>
      <c r="CZ4" t="e">
        <f>#REF!+"$&gt;\f!0d"</f>
        <v>#REF!</v>
      </c>
      <c r="DA4" t="e">
        <f>#REF!+"$&gt;\f!0e"</f>
        <v>#REF!</v>
      </c>
      <c r="DB4" t="e">
        <f>#REF!+"$&gt;\f!0f"</f>
        <v>#REF!</v>
      </c>
      <c r="DC4" t="e">
        <f>#REF!+"$&gt;\f!0g"</f>
        <v>#REF!</v>
      </c>
      <c r="DD4" t="e">
        <f>#REF!+"$&gt;\f!0h"</f>
        <v>#REF!</v>
      </c>
      <c r="DE4" t="e">
        <f>#REF!+"$&gt;\f!0i"</f>
        <v>#REF!</v>
      </c>
      <c r="DF4" t="e">
        <f>#REF!+"$&gt;\f!0j"</f>
        <v>#REF!</v>
      </c>
      <c r="DG4" t="e">
        <f>#REF!+"$&gt;\f!0k"</f>
        <v>#REF!</v>
      </c>
      <c r="DH4" t="e">
        <f>#REF!+"$&gt;\f!0l"</f>
        <v>#REF!</v>
      </c>
      <c r="DI4" t="e">
        <f>#REF!+"$&gt;\f!0m"</f>
        <v>#REF!</v>
      </c>
      <c r="DJ4" t="e">
        <f>#REF!+"$&gt;\f!0n"</f>
        <v>#REF!</v>
      </c>
      <c r="DK4" t="e">
        <f>#REF!+"$&gt;\f!0o"</f>
        <v>#REF!</v>
      </c>
      <c r="DL4" t="e">
        <f>#REF!+"$&gt;\f!0p"</f>
        <v>#REF!</v>
      </c>
      <c r="DM4" t="e">
        <f>#REF!+"$&gt;\f!0q"</f>
        <v>#REF!</v>
      </c>
      <c r="DN4" t="e">
        <f>#REF!+"$&gt;\f!0r"</f>
        <v>#REF!</v>
      </c>
      <c r="DO4" t="e">
        <f>#REF!+"$&gt;\f!0s"</f>
        <v>#REF!</v>
      </c>
      <c r="DP4" t="e">
        <f>#REF!+"$&gt;\f!0t"</f>
        <v>#REF!</v>
      </c>
      <c r="DQ4" t="e">
        <f>#REF!+"$&gt;\f!0u"</f>
        <v>#REF!</v>
      </c>
      <c r="DR4" t="e">
        <f>#REF!+"$&gt;\f!0v"</f>
        <v>#REF!</v>
      </c>
      <c r="DS4" t="e">
        <f>#REF!+"$&gt;\f!0w"</f>
        <v>#REF!</v>
      </c>
      <c r="DT4" t="e">
        <f>#REF!+"$&gt;\f!0x"</f>
        <v>#REF!</v>
      </c>
      <c r="DU4" t="e">
        <f>#REF!+"$&gt;\f!0y"</f>
        <v>#REF!</v>
      </c>
      <c r="DV4" t="e">
        <f>#REF!+"$&gt;\f!0z"</f>
        <v>#REF!</v>
      </c>
      <c r="DW4" t="e">
        <f>#REF!+"$&gt;\f!0{"</f>
        <v>#REF!</v>
      </c>
      <c r="DX4" t="e">
        <f>#REF!+"$&gt;\f!0|"</f>
        <v>#REF!</v>
      </c>
      <c r="DY4" t="e">
        <f>#REF!+"$&gt;\f!0}"</f>
        <v>#REF!</v>
      </c>
      <c r="DZ4" t="e">
        <f>#REF!+"$&gt;\f!0~"</f>
        <v>#REF!</v>
      </c>
      <c r="EA4" t="e">
        <f>#REF!+"$&gt;\f!1#"</f>
        <v>#REF!</v>
      </c>
      <c r="EB4" t="e">
        <f>#REF!+"$&gt;\f!1$"</f>
        <v>#REF!</v>
      </c>
      <c r="EC4" t="e">
        <f>#REF!+"$&gt;\f!1%"</f>
        <v>#REF!</v>
      </c>
      <c r="ED4" t="e">
        <f>#REF!+"$&gt;\f!1&amp;"</f>
        <v>#REF!</v>
      </c>
      <c r="EE4" t="e">
        <f>#REF!+"$&gt;\f!1'"</f>
        <v>#REF!</v>
      </c>
      <c r="EF4" t="e">
        <f>#REF!+"$&gt;\f!1("</f>
        <v>#REF!</v>
      </c>
      <c r="EG4" t="e">
        <f>#REF!+"$&gt;\f!1)"</f>
        <v>#REF!</v>
      </c>
      <c r="EH4" t="e">
        <f>#REF!+"$&gt;\f!1."</f>
        <v>#REF!</v>
      </c>
      <c r="EI4" t="e">
        <f>#REF!+"$&gt;\f!1/"</f>
        <v>#REF!</v>
      </c>
      <c r="EJ4" t="e">
        <f>#REF!+"$&gt;\f!10"</f>
        <v>#REF!</v>
      </c>
      <c r="EK4" t="e">
        <f>#REF!+"$&gt;\f!11"</f>
        <v>#REF!</v>
      </c>
      <c r="EL4" t="e">
        <f>#REF!+"$&gt;\f!12"</f>
        <v>#REF!</v>
      </c>
      <c r="EM4" t="e">
        <f>#REF!+"$&gt;\f!13"</f>
        <v>#REF!</v>
      </c>
      <c r="EN4" t="e">
        <f>#REF!+"$&gt;\f!14"</f>
        <v>#REF!</v>
      </c>
      <c r="EO4" t="e">
        <f>#REF!+"$&gt;\f!15"</f>
        <v>#REF!</v>
      </c>
      <c r="EP4" t="e">
        <f>#REF!+"$&gt;\f!16"</f>
        <v>#REF!</v>
      </c>
      <c r="EQ4" t="e">
        <f>#REF!+"$&gt;\f!17"</f>
        <v>#REF!</v>
      </c>
      <c r="ER4" t="e">
        <f>#REF!+"$&gt;\f!18"</f>
        <v>#REF!</v>
      </c>
      <c r="ES4" t="e">
        <f>#REF!+"$&gt;\f!19"</f>
        <v>#REF!</v>
      </c>
      <c r="ET4" t="e">
        <f>#REF!+"$&gt;\f!1:"</f>
        <v>#REF!</v>
      </c>
      <c r="EU4" t="e">
        <f>#REF!+"$&gt;\f!1;"</f>
        <v>#REF!</v>
      </c>
      <c r="EV4" t="e">
        <f>#REF!+"$&gt;\f!1&lt;"</f>
        <v>#REF!</v>
      </c>
      <c r="EW4" t="e">
        <f>#REF!+"$&gt;\f!1="</f>
        <v>#REF!</v>
      </c>
      <c r="EX4" t="e">
        <f>#REF!+"$&gt;\f!1&gt;"</f>
        <v>#REF!</v>
      </c>
      <c r="EY4" t="e">
        <f>#REF!+"$&gt;\f!1?"</f>
        <v>#REF!</v>
      </c>
      <c r="EZ4" t="e">
        <f>#REF!+"$&gt;\f!1@"</f>
        <v>#REF!</v>
      </c>
      <c r="FA4" t="e">
        <f>#REF!+"$&gt;\f!1A"</f>
        <v>#REF!</v>
      </c>
      <c r="FB4" t="e">
        <f>#REF!+"$&gt;\f!1B"</f>
        <v>#REF!</v>
      </c>
      <c r="FC4" t="e">
        <f>#REF!+"$&gt;\f!1C"</f>
        <v>#REF!</v>
      </c>
      <c r="FD4" t="e">
        <f>#REF!+"$&gt;\f!1D"</f>
        <v>#REF!</v>
      </c>
      <c r="FE4" t="e">
        <f>#REF!+"$&gt;\f!1E"</f>
        <v>#REF!</v>
      </c>
      <c r="FF4" t="e">
        <f>#REF!+"$&gt;\f!1F"</f>
        <v>#REF!</v>
      </c>
      <c r="FG4" t="e">
        <f>#REF!+"$&gt;\f!1G"</f>
        <v>#REF!</v>
      </c>
      <c r="FH4" t="e">
        <f>#REF!+"$&gt;\f!1H"</f>
        <v>#REF!</v>
      </c>
      <c r="FI4" t="e">
        <f>#REF!+"$&gt;\f!1I"</f>
        <v>#REF!</v>
      </c>
      <c r="FJ4" t="e">
        <f>#REF!+"$&gt;\f!1J"</f>
        <v>#REF!</v>
      </c>
      <c r="FK4" t="e">
        <f>#REF!+"$&gt;\f!1K"</f>
        <v>#REF!</v>
      </c>
      <c r="FL4" t="e">
        <f>#REF!+"$&gt;\f!1L"</f>
        <v>#REF!</v>
      </c>
      <c r="FM4" t="e">
        <f>#REF!+"$&gt;\f!1M"</f>
        <v>#REF!</v>
      </c>
      <c r="FN4" t="e">
        <f>#REF!+"$&gt;\f!1N"</f>
        <v>#REF!</v>
      </c>
      <c r="FO4" t="e">
        <f>#REF!+"$&gt;\f!1O"</f>
        <v>#REF!</v>
      </c>
      <c r="FP4" t="e">
        <f>#REF!+"$&gt;\f!1P"</f>
        <v>#REF!</v>
      </c>
      <c r="FQ4" t="e">
        <f>#REF!+"$&gt;\f!1Q"</f>
        <v>#REF!</v>
      </c>
      <c r="FR4" t="e">
        <f>#REF!+"$&gt;\f!1R"</f>
        <v>#REF!</v>
      </c>
      <c r="FS4" t="e">
        <f>#REF!+"$&gt;\f!1S"</f>
        <v>#REF!</v>
      </c>
      <c r="FT4" t="e">
        <f>#REF!+"$&gt;\f!1T"</f>
        <v>#REF!</v>
      </c>
      <c r="FU4" t="e">
        <f>#REF!+"$&gt;\f!1U"</f>
        <v>#REF!</v>
      </c>
      <c r="FV4" t="e">
        <f>#REF!+"$&gt;\f!1V"</f>
        <v>#REF!</v>
      </c>
      <c r="FW4" t="e">
        <f>#REF!+"$&gt;\f!1W"</f>
        <v>#REF!</v>
      </c>
      <c r="FX4" t="e">
        <f>#REF!+"$&gt;\f!1X"</f>
        <v>#REF!</v>
      </c>
      <c r="FY4" t="e">
        <f>#REF!+"$&gt;\f!1Y"</f>
        <v>#REF!</v>
      </c>
      <c r="FZ4" t="e">
        <f>#REF!+"$&gt;\f!1Z"</f>
        <v>#REF!</v>
      </c>
      <c r="GA4" t="e">
        <f>#REF!+"$&gt;\f!1["</f>
        <v>#REF!</v>
      </c>
      <c r="GB4" t="e">
        <f>#REF!+"$&gt;\f!1\"</f>
        <v>#REF!</v>
      </c>
      <c r="GC4" t="e">
        <f>#REF!+"$&gt;\f!1]"</f>
        <v>#REF!</v>
      </c>
      <c r="GD4" t="e">
        <f>#REF!+"$&gt;\f!1^"</f>
        <v>#REF!</v>
      </c>
      <c r="GE4" t="e">
        <f>#REF!+"$&gt;\f!1_"</f>
        <v>#REF!</v>
      </c>
      <c r="GF4" t="e">
        <f>#REF!+"$&gt;\f!1`"</f>
        <v>#REF!</v>
      </c>
      <c r="GG4" t="e">
        <f>#REF!+"$&gt;\f!1a"</f>
        <v>#REF!</v>
      </c>
      <c r="GH4" t="e">
        <f>#REF!+"$&gt;\f!1b"</f>
        <v>#REF!</v>
      </c>
      <c r="GI4" t="e">
        <f>#REF!+"$&gt;\f!1c"</f>
        <v>#REF!</v>
      </c>
      <c r="GJ4" t="e">
        <f>#REF!+"$&gt;\f!1d"</f>
        <v>#REF!</v>
      </c>
      <c r="GK4" t="e">
        <f>#REF!+"$&gt;\f!1e"</f>
        <v>#REF!</v>
      </c>
      <c r="GL4" t="e">
        <f>#REF!+"$&gt;\f!1f"</f>
        <v>#REF!</v>
      </c>
      <c r="GM4" t="e">
        <f>#REF!+"$&gt;\f!1g"</f>
        <v>#REF!</v>
      </c>
      <c r="GN4" t="e">
        <f>#REF!+"$&gt;\f!1h"</f>
        <v>#REF!</v>
      </c>
      <c r="GO4" t="e">
        <f>#REF!+"$&gt;\f!1i"</f>
        <v>#REF!</v>
      </c>
      <c r="GP4" t="e">
        <f>#REF!+"$&gt;\f!1j"</f>
        <v>#REF!</v>
      </c>
      <c r="GQ4" t="e">
        <f>#REF!+"$&gt;\f!1k"</f>
        <v>#REF!</v>
      </c>
      <c r="GR4" t="e">
        <f>#REF!+"$&gt;\f!1l"</f>
        <v>#REF!</v>
      </c>
      <c r="GS4" t="e">
        <f>#REF!+"$&gt;\f!1m"</f>
        <v>#REF!</v>
      </c>
      <c r="GT4" t="e">
        <f>#REF!+"$&gt;\f!1n"</f>
        <v>#REF!</v>
      </c>
      <c r="GU4" t="e">
        <f>#REF!+"$&gt;\f!1o"</f>
        <v>#REF!</v>
      </c>
      <c r="GV4" t="e">
        <f>#REF!+"$&gt;\f!1p"</f>
        <v>#REF!</v>
      </c>
      <c r="GW4" t="e">
        <f>#REF!+"$&gt;\f!1q"</f>
        <v>#REF!</v>
      </c>
      <c r="GX4" t="e">
        <f>#REF!+"$&gt;\f!1r"</f>
        <v>#REF!</v>
      </c>
      <c r="GY4" t="e">
        <f>#REF!+"$&gt;\f!1s"</f>
        <v>#REF!</v>
      </c>
      <c r="GZ4" t="e">
        <f>#REF!+"$&gt;\f!1t"</f>
        <v>#REF!</v>
      </c>
      <c r="HA4" t="e">
        <f>#REF!+"$&gt;\f!1u"</f>
        <v>#REF!</v>
      </c>
      <c r="HB4" t="e">
        <f>#REF!+"$&gt;\f!1v"</f>
        <v>#REF!</v>
      </c>
      <c r="HC4" t="e">
        <f>#REF!+"$&gt;\f!1w"</f>
        <v>#REF!</v>
      </c>
      <c r="HD4" t="e">
        <f>#REF!+"$&gt;\f!1x"</f>
        <v>#REF!</v>
      </c>
      <c r="HE4" t="e">
        <f>#REF!+"$&gt;\f!1y"</f>
        <v>#REF!</v>
      </c>
      <c r="HF4" t="e">
        <f>#REF!+"$&gt;\f!1z"</f>
        <v>#REF!</v>
      </c>
      <c r="HG4" t="e">
        <f>#REF!+"$&gt;\f!1{"</f>
        <v>#REF!</v>
      </c>
      <c r="HH4" t="e">
        <f>#REF!+"$&gt;\f!1|"</f>
        <v>#REF!</v>
      </c>
      <c r="HI4" t="e">
        <f>#REF!+"$&gt;\f!1}"</f>
        <v>#REF!</v>
      </c>
      <c r="HJ4" t="e">
        <f>#REF!+"$&gt;\f!1~"</f>
        <v>#REF!</v>
      </c>
      <c r="HK4" t="e">
        <f>#REF!+"$&gt;\f!2#"</f>
        <v>#REF!</v>
      </c>
      <c r="HL4" t="e">
        <f>#REF!+"$&gt;\f!2$"</f>
        <v>#REF!</v>
      </c>
      <c r="HM4" t="e">
        <f>#REF!+"$&gt;\f!2%"</f>
        <v>#REF!</v>
      </c>
      <c r="HN4" t="e">
        <f>#REF!+"$&gt;\f!2&amp;"</f>
        <v>#REF!</v>
      </c>
      <c r="HO4" t="e">
        <f>#REF!+"$&gt;\f!2'"</f>
        <v>#REF!</v>
      </c>
      <c r="HP4" t="e">
        <f>#REF!+"$&gt;\f!2("</f>
        <v>#REF!</v>
      </c>
      <c r="HQ4" t="e">
        <f>#REF!+"$&gt;\f!2)"</f>
        <v>#REF!</v>
      </c>
      <c r="HR4" t="e">
        <f>#REF!+"$&gt;\f!2."</f>
        <v>#REF!</v>
      </c>
      <c r="HS4" t="e">
        <f>#REF!+"$&gt;\f!2/"</f>
        <v>#REF!</v>
      </c>
      <c r="HT4" t="e">
        <f>#REF!+"$&gt;\f!20"</f>
        <v>#REF!</v>
      </c>
      <c r="HU4" t="e">
        <f>#REF!+"$&gt;\f!21"</f>
        <v>#REF!</v>
      </c>
      <c r="HV4" t="e">
        <f>#REF!+"$&gt;\f!22"</f>
        <v>#REF!</v>
      </c>
      <c r="HW4" t="e">
        <f>#REF!+"$&gt;\f!23"</f>
        <v>#REF!</v>
      </c>
      <c r="HX4" t="e">
        <f>#REF!+"$&gt;\f!24"</f>
        <v>#REF!</v>
      </c>
      <c r="HY4" t="e">
        <f>#REF!+"$&gt;\f!25"</f>
        <v>#REF!</v>
      </c>
      <c r="HZ4" t="e">
        <f>#REF!+"$&gt;\f!26"</f>
        <v>#REF!</v>
      </c>
      <c r="IA4" t="e">
        <f>#REF!+"$&gt;\f!27"</f>
        <v>#REF!</v>
      </c>
      <c r="IB4" t="e">
        <f>#REF!+"$&gt;\f!28"</f>
        <v>#REF!</v>
      </c>
      <c r="IC4" t="e">
        <f>#REF!+"$&gt;\f!29"</f>
        <v>#REF!</v>
      </c>
      <c r="ID4" t="e">
        <f>#REF!+"$&gt;\f!2:"</f>
        <v>#REF!</v>
      </c>
      <c r="IE4" t="e">
        <f>#REF!+"$&gt;\f!2;"</f>
        <v>#REF!</v>
      </c>
      <c r="IF4" t="e">
        <f>#REF!+"$&gt;\f!2&lt;"</f>
        <v>#REF!</v>
      </c>
      <c r="IG4" t="e">
        <f>#REF!+"$&gt;\f!2="</f>
        <v>#REF!</v>
      </c>
      <c r="IH4" t="e">
        <f>#REF!+"$&gt;\f!2&gt;"</f>
        <v>#REF!</v>
      </c>
      <c r="II4" t="e">
        <f>#REF!+"$&gt;\f!2?"</f>
        <v>#REF!</v>
      </c>
      <c r="IJ4" t="e">
        <f>#REF!+"$&gt;\f!2@"</f>
        <v>#REF!</v>
      </c>
      <c r="IK4" t="e">
        <f>#REF!+"$&gt;\f!2A"</f>
        <v>#REF!</v>
      </c>
      <c r="IL4" t="e">
        <f>#REF!+"$&gt;\f!2B"</f>
        <v>#REF!</v>
      </c>
      <c r="IM4" t="e">
        <f>#REF!+"$&gt;\f!2C"</f>
        <v>#REF!</v>
      </c>
      <c r="IN4" t="e">
        <f>#REF!+"$&gt;\f!2D"</f>
        <v>#REF!</v>
      </c>
      <c r="IO4" t="e">
        <f>#REF!*"$&gt;\f!2E"</f>
        <v>#REF!</v>
      </c>
      <c r="IP4" t="e">
        <f>#REF!*"$&gt;\f!2F"</f>
        <v>#REF!</v>
      </c>
      <c r="IQ4" t="e">
        <f>#REF!*"$&gt;\f!2G"</f>
        <v>#REF!</v>
      </c>
      <c r="IR4" t="e">
        <f>#REF!*"$&gt;\f!2H"</f>
        <v>#REF!</v>
      </c>
      <c r="IS4" t="e">
        <f>#REF!*"$&gt;\f!2I"</f>
        <v>#REF!</v>
      </c>
      <c r="IT4" t="e">
        <f>#REF!*"$&gt;\f!2J"</f>
        <v>#REF!</v>
      </c>
      <c r="IU4" t="e">
        <f>#REF!*"$&gt;\f!2K"</f>
        <v>#REF!</v>
      </c>
      <c r="IV4" t="e">
        <f>#REF!*"$&gt;\f!2L"</f>
        <v>#REF!</v>
      </c>
    </row>
    <row r="5" spans="1:256" x14ac:dyDescent="0.25">
      <c r="F5" t="e">
        <f>#REF!*"$&gt;\f!2M"</f>
        <v>#REF!</v>
      </c>
      <c r="G5" t="e">
        <f>#REF!*"$&gt;\f!2N"</f>
        <v>#REF!</v>
      </c>
      <c r="H5" t="e">
        <f>#REF!*"$&gt;\f!2O"</f>
        <v>#REF!</v>
      </c>
      <c r="I5" t="e">
        <f>#REF!*"$&gt;\f!2P"</f>
        <v>#REF!</v>
      </c>
      <c r="J5" t="e">
        <f>#REF!*"$&gt;\f!2Q"</f>
        <v>#REF!</v>
      </c>
      <c r="K5" t="e">
        <f>#REF!*"$&gt;\f!2R"</f>
        <v>#REF!</v>
      </c>
      <c r="L5" t="e">
        <f>#REF!*"$&gt;\f!2S"</f>
        <v>#REF!</v>
      </c>
      <c r="M5" t="e">
        <f>#REF!*"$&gt;\f!2T"</f>
        <v>#REF!</v>
      </c>
      <c r="N5" t="e">
        <f>#REF!*"$&gt;\f!2U"</f>
        <v>#REF!</v>
      </c>
      <c r="O5" t="e">
        <f>#REF!*"$&gt;\f!2V"</f>
        <v>#REF!</v>
      </c>
      <c r="P5" t="e">
        <f>#REF!*"$&gt;\f!2W"</f>
        <v>#REF!</v>
      </c>
      <c r="Q5" t="e">
        <f>#REF!*"$&gt;\f!2X"</f>
        <v>#REF!</v>
      </c>
      <c r="R5" t="e">
        <f>#REF!*"$&gt;\f!2Y"</f>
        <v>#REF!</v>
      </c>
      <c r="S5" t="e">
        <f>#REF!*"$&gt;\f!2Z"</f>
        <v>#REF!</v>
      </c>
      <c r="T5" t="e">
        <f>#REF!*"$&gt;\f!2["</f>
        <v>#REF!</v>
      </c>
      <c r="U5" t="e">
        <f>#REF!*"$&gt;\f!2\"</f>
        <v>#REF!</v>
      </c>
      <c r="V5" t="e">
        <f>#REF!*"$&gt;\f!2]"</f>
        <v>#REF!</v>
      </c>
      <c r="W5" t="e">
        <f>#REF!*"$&gt;\f!2^"</f>
        <v>#REF!</v>
      </c>
      <c r="X5" t="e">
        <f>#REF!*"$&gt;\f!2_"</f>
        <v>#REF!</v>
      </c>
      <c r="Y5" t="e">
        <f>#REF!*"$&gt;\f!2`"</f>
        <v>#REF!</v>
      </c>
      <c r="Z5" t="e">
        <f>#REF!*"$&gt;\f!2a"</f>
        <v>#REF!</v>
      </c>
      <c r="AA5" t="e">
        <f>#REF!*"$&gt;\f!2b"</f>
        <v>#REF!</v>
      </c>
      <c r="AB5" t="e">
        <f>#REF!*"$&gt;\f!2c"</f>
        <v>#REF!</v>
      </c>
      <c r="AC5" t="e">
        <f>#REF!*"$&gt;\f!2d"</f>
        <v>#REF!</v>
      </c>
      <c r="AD5" t="e">
        <f>#REF!*"$&gt;\f!2e"</f>
        <v>#REF!</v>
      </c>
      <c r="AE5" t="e">
        <f>#REF!*"$&gt;\f!2f"</f>
        <v>#REF!</v>
      </c>
      <c r="AF5" t="e">
        <f>#REF!*"$&gt;\f!2g"</f>
        <v>#REF!</v>
      </c>
      <c r="AG5" t="e">
        <f>#REF!*"$&gt;\f!2h"</f>
        <v>#REF!</v>
      </c>
      <c r="AH5" t="e">
        <f>#REF!*"$&gt;\f!2i"</f>
        <v>#REF!</v>
      </c>
      <c r="AI5" t="e">
        <f>#REF!*"$&gt;\f!2j"</f>
        <v>#REF!</v>
      </c>
      <c r="AJ5" t="e">
        <f>#REF!*"$&gt;\f!2k"</f>
        <v>#REF!</v>
      </c>
      <c r="AK5" t="e">
        <f>#REF!*"$&gt;\f!2l"</f>
        <v>#REF!</v>
      </c>
      <c r="AL5" t="e">
        <f>#REF!*"$&gt;\f!2m"</f>
        <v>#REF!</v>
      </c>
      <c r="AM5" t="e">
        <f>#REF!*"$&gt;\f!2n"</f>
        <v>#REF!</v>
      </c>
      <c r="AN5" t="e">
        <f>#REF!*"$&gt;\f!2o"</f>
        <v>#REF!</v>
      </c>
      <c r="AO5" t="e">
        <f>#REF!*"$&gt;\f!2p"</f>
        <v>#REF!</v>
      </c>
      <c r="AP5" t="e">
        <f>#REF!*"$&gt;\f!2q"</f>
        <v>#REF!</v>
      </c>
      <c r="AQ5" t="e">
        <f>#REF!*"$&gt;\f!2r"</f>
        <v>#REF!</v>
      </c>
      <c r="AR5" t="e">
        <f>#REF!*"$&gt;\f!2s"</f>
        <v>#REF!</v>
      </c>
      <c r="AS5" t="e">
        <f>#REF!*"$&gt;\f!2t"</f>
        <v>#REF!</v>
      </c>
      <c r="AT5" t="e">
        <f>#REF!*"$&gt;\f!2u"</f>
        <v>#REF!</v>
      </c>
      <c r="AU5" t="e">
        <f>#REF!*"$&gt;\f!2v"</f>
        <v>#REF!</v>
      </c>
      <c r="AV5" t="e">
        <f>#REF!*"$&gt;\f!2w"</f>
        <v>#REF!</v>
      </c>
      <c r="AW5" t="e">
        <f>#REF!*"$&gt;\f!2x"</f>
        <v>#REF!</v>
      </c>
      <c r="AX5" t="e">
        <f>#REF!*"$&gt;\f!2y"</f>
        <v>#REF!</v>
      </c>
      <c r="AY5" t="e">
        <f>#REF!*"$&gt;\f!2z"</f>
        <v>#REF!</v>
      </c>
      <c r="AZ5" t="e">
        <f>#REF!*"$&gt;\f!2{"</f>
        <v>#REF!</v>
      </c>
      <c r="BA5" t="e">
        <f>#REF!*"$&gt;\f!2|"</f>
        <v>#REF!</v>
      </c>
      <c r="BB5" t="e">
        <f>#REF!*"$&gt;\f!2}"</f>
        <v>#REF!</v>
      </c>
      <c r="BC5" t="e">
        <f>#REF!*"$&gt;\f!2~"</f>
        <v>#REF!</v>
      </c>
      <c r="BD5" t="e">
        <f>#REF!*"$&gt;\f!3#"</f>
        <v>#REF!</v>
      </c>
      <c r="BE5" t="e">
        <f>#REF!*"$&gt;\f!3$"</f>
        <v>#REF!</v>
      </c>
      <c r="BF5" t="e">
        <f>#REF!*"$&gt;\f!3%"</f>
        <v>#REF!</v>
      </c>
      <c r="BG5" t="e">
        <f>#REF!*"$&gt;\f!3&amp;"</f>
        <v>#REF!</v>
      </c>
      <c r="BH5" t="e">
        <f>#REF!*"$&gt;\f!3'"</f>
        <v>#REF!</v>
      </c>
      <c r="BI5" t="e">
        <f>#REF!*"$&gt;\f!3("</f>
        <v>#REF!</v>
      </c>
      <c r="BJ5" t="e">
        <f>#REF!-"$&gt;\f!3)"</f>
        <v>#REF!</v>
      </c>
      <c r="BK5" t="e">
        <f>#REF!-"$&gt;\f!3."</f>
        <v>#REF!</v>
      </c>
      <c r="BL5" t="e">
        <f>#REF!-"$&gt;\f!3/"</f>
        <v>#REF!</v>
      </c>
      <c r="BM5" t="e">
        <f>#REF!-"$&gt;\f!30"</f>
        <v>#REF!</v>
      </c>
      <c r="BN5" t="e">
        <f>#REF!-"$&gt;\f!31"</f>
        <v>#REF!</v>
      </c>
      <c r="BO5" t="e">
        <f>#REF!-"$&gt;\f!32"</f>
        <v>#REF!</v>
      </c>
      <c r="BP5" t="e">
        <f>#REF!-"$&gt;\f!33"</f>
        <v>#REF!</v>
      </c>
      <c r="BQ5" t="e">
        <f>#REF!-"$&gt;\f!34"</f>
        <v>#REF!</v>
      </c>
      <c r="BR5" t="e">
        <f>#REF!-"$&gt;\f!35"</f>
        <v>#REF!</v>
      </c>
      <c r="BS5" t="e">
        <f>#REF!-"$&gt;\f!36"</f>
        <v>#REF!</v>
      </c>
      <c r="BT5" t="e">
        <f>#REF!-"$&gt;\f!37"</f>
        <v>#REF!</v>
      </c>
      <c r="BU5" t="e">
        <f>#REF!-"$&gt;\f!38"</f>
        <v>#REF!</v>
      </c>
      <c r="BV5" t="e">
        <f>#REF!-"$&gt;\f!39"</f>
        <v>#REF!</v>
      </c>
      <c r="BW5" t="e">
        <f>#REF!-"$&gt;\f!3:"</f>
        <v>#REF!</v>
      </c>
      <c r="BX5" t="e">
        <f>#REF!-"$&gt;\f!3;"</f>
        <v>#REF!</v>
      </c>
      <c r="BY5" t="e">
        <f>#REF!-"$&gt;\f!3&lt;"</f>
        <v>#REF!</v>
      </c>
      <c r="BZ5" t="e">
        <f>#REF!-"$&gt;\f!3="</f>
        <v>#REF!</v>
      </c>
      <c r="CA5" t="e">
        <f>#REF!-"$&gt;\f!3&gt;"</f>
        <v>#REF!</v>
      </c>
      <c r="CB5" t="e">
        <f>#REF!-"$&gt;\f!3?"</f>
        <v>#REF!</v>
      </c>
      <c r="CC5" t="e">
        <f>#REF!-"$&gt;\f!3@"</f>
        <v>#REF!</v>
      </c>
      <c r="CD5" t="e">
        <f>#REF!-"$&gt;\f!3A"</f>
        <v>#REF!</v>
      </c>
      <c r="CE5" t="e">
        <f>#REF!-"$&gt;\f!3B"</f>
        <v>#REF!</v>
      </c>
      <c r="CF5" t="e">
        <f>#REF!-"$&gt;\f!3C"</f>
        <v>#REF!</v>
      </c>
      <c r="CG5" t="e">
        <f>#REF!-"$&gt;\f!3D"</f>
        <v>#REF!</v>
      </c>
      <c r="CH5" t="e">
        <f>#REF!-"$&gt;\f!3E"</f>
        <v>#REF!</v>
      </c>
      <c r="CI5" t="e">
        <f>#REF!-"$&gt;\f!3F"</f>
        <v>#REF!</v>
      </c>
      <c r="CJ5" t="e">
        <f>#REF!-"$&gt;\f!3G"</f>
        <v>#REF!</v>
      </c>
      <c r="CK5" t="e">
        <f>#REF!-"$&gt;\f!3H"</f>
        <v>#REF!</v>
      </c>
      <c r="CL5" t="e">
        <f>#REF!-"$&gt;\f!3I"</f>
        <v>#REF!</v>
      </c>
      <c r="CM5" t="e">
        <f>#REF!-"$&gt;\f!3J"</f>
        <v>#REF!</v>
      </c>
      <c r="CN5" t="e">
        <f>#REF!-"$&gt;\f!3K"</f>
        <v>#REF!</v>
      </c>
      <c r="CO5" t="e">
        <f>#REF!-"$&gt;\f!3L"</f>
        <v>#REF!</v>
      </c>
      <c r="CP5" t="e">
        <f>#REF!-"$&gt;\f!3M"</f>
        <v>#REF!</v>
      </c>
      <c r="CQ5" t="e">
        <f>#REF!-"$&gt;\f!3N"</f>
        <v>#REF!</v>
      </c>
      <c r="CR5" t="e">
        <f>#REF!-"$&gt;\f!3O"</f>
        <v>#REF!</v>
      </c>
      <c r="CS5" t="e">
        <f>#REF!-"$&gt;\f!3P"</f>
        <v>#REF!</v>
      </c>
      <c r="CT5" t="e">
        <f>#REF!-"$&gt;\f!3Q"</f>
        <v>#REF!</v>
      </c>
      <c r="CU5" t="e">
        <f>#REF!-"$&gt;\f!3R"</f>
        <v>#REF!</v>
      </c>
      <c r="CV5" t="e">
        <f>#REF!-"$&gt;\f!3S"</f>
        <v>#REF!</v>
      </c>
      <c r="CW5" t="e">
        <f>#REF!-"$&gt;\f!3T"</f>
        <v>#REF!</v>
      </c>
      <c r="CX5" t="e">
        <f>#REF!-"$&gt;\f!3U"</f>
        <v>#REF!</v>
      </c>
      <c r="CY5" t="e">
        <f>#REF!-"$&gt;\f!3V"</f>
        <v>#REF!</v>
      </c>
      <c r="CZ5" t="e">
        <f>#REF!-"$&gt;\f!3W"</f>
        <v>#REF!</v>
      </c>
      <c r="DA5" t="e">
        <f>#REF!-"$&gt;\f!3X"</f>
        <v>#REF!</v>
      </c>
      <c r="DB5" t="e">
        <f>#REF!-"$&gt;\f!3Y"</f>
        <v>#REF!</v>
      </c>
      <c r="DC5" t="e">
        <f>#REF!-"$&gt;\f!3Z"</f>
        <v>#REF!</v>
      </c>
      <c r="DD5" t="e">
        <f>#REF!-"$&gt;\f!3["</f>
        <v>#REF!</v>
      </c>
      <c r="DE5" t="e">
        <f>#REF!-"$&gt;\f!3\"</f>
        <v>#REF!</v>
      </c>
      <c r="DF5" t="e">
        <f>#REF!-"$&gt;\f!3]"</f>
        <v>#REF!</v>
      </c>
      <c r="DG5" t="e">
        <f>#REF!-"$&gt;\f!3^"</f>
        <v>#REF!</v>
      </c>
      <c r="DH5" t="e">
        <f>#REF!-"$&gt;\f!3_"</f>
        <v>#REF!</v>
      </c>
      <c r="DI5" t="e">
        <f>#REF!-"$&gt;\f!3`"</f>
        <v>#REF!</v>
      </c>
      <c r="DJ5" t="e">
        <f>#REF!-"$&gt;\f!3a"</f>
        <v>#REF!</v>
      </c>
      <c r="DK5" t="e">
        <f>#REF!-"$&gt;\f!3b"</f>
        <v>#REF!</v>
      </c>
      <c r="DL5" t="e">
        <f>#REF!-"$&gt;\f!3c"</f>
        <v>#REF!</v>
      </c>
      <c r="DM5" t="e">
        <f>#REF!-"$&gt;\f!3d"</f>
        <v>#REF!</v>
      </c>
      <c r="DN5" t="e">
        <f>#REF!-"$&gt;\f!3e"</f>
        <v>#REF!</v>
      </c>
      <c r="DO5" t="e">
        <f>#REF!-"$&gt;\f!3f"</f>
        <v>#REF!</v>
      </c>
      <c r="DP5" t="e">
        <f>#REF!-"$&gt;\f!3g"</f>
        <v>#REF!</v>
      </c>
      <c r="DQ5" t="e">
        <f>#REF!-"$&gt;\f!3h"</f>
        <v>#REF!</v>
      </c>
      <c r="DR5" t="e">
        <f>#REF!-"$&gt;\f!3i"</f>
        <v>#REF!</v>
      </c>
      <c r="DS5" t="e">
        <f>#REF!-"$&gt;\f!3j"</f>
        <v>#REF!</v>
      </c>
      <c r="DT5" t="e">
        <f>#REF!-"$&gt;\f!3k"</f>
        <v>#REF!</v>
      </c>
      <c r="DU5" t="e">
        <f>#REF!-"$&gt;\f!3l"</f>
        <v>#REF!</v>
      </c>
      <c r="DV5" t="e">
        <f>#REF!-"$&gt;\f!3m"</f>
        <v>#REF!</v>
      </c>
      <c r="DW5" t="e">
        <f>#REF!-"$&gt;\f!3n"</f>
        <v>#REF!</v>
      </c>
      <c r="DX5" t="e">
        <f>#REF!-"$&gt;\f!3o"</f>
        <v>#REF!</v>
      </c>
      <c r="DY5" t="e">
        <f>#REF!-"$&gt;\f!3p"</f>
        <v>#REF!</v>
      </c>
      <c r="DZ5" t="e">
        <f>#REF!-"$&gt;\f!3q"</f>
        <v>#REF!</v>
      </c>
      <c r="EA5" t="e">
        <f>#REF!-"$&gt;\f!3r"</f>
        <v>#REF!</v>
      </c>
      <c r="EB5" t="e">
        <f>#REF!-"$&gt;\f!3s"</f>
        <v>#REF!</v>
      </c>
      <c r="EC5" t="e">
        <f>#REF!-"$&gt;\f!3t"</f>
        <v>#REF!</v>
      </c>
      <c r="ED5" t="e">
        <f>#REF!-"$&gt;\f!3u"</f>
        <v>#REF!</v>
      </c>
      <c r="EE5" t="e">
        <f>#REF!-"$&gt;\f!3v"</f>
        <v>#REF!</v>
      </c>
      <c r="EF5" t="e">
        <f>#REF!-"$&gt;\f!3w"</f>
        <v>#REF!</v>
      </c>
      <c r="EG5" t="e">
        <f>#REF!-"$&gt;\f!3x"</f>
        <v>#REF!</v>
      </c>
      <c r="EH5" t="e">
        <f>#REF!-"$&gt;\f!3y"</f>
        <v>#REF!</v>
      </c>
      <c r="EI5" t="e">
        <f>#REF!-"$&gt;\f!3z"</f>
        <v>#REF!</v>
      </c>
      <c r="EJ5" t="e">
        <f>#REF!-"$&gt;\f!3{"</f>
        <v>#REF!</v>
      </c>
      <c r="EK5" t="e">
        <f>#REF!-"$&gt;\f!3|"</f>
        <v>#REF!</v>
      </c>
      <c r="EL5" t="e">
        <f>#REF!-"$&gt;\f!3}"</f>
        <v>#REF!</v>
      </c>
      <c r="EM5" t="e">
        <f>#REF!-"$&gt;\f!3~"</f>
        <v>#REF!</v>
      </c>
      <c r="EN5" t="e">
        <f>#REF!-"$&gt;\f!4#"</f>
        <v>#REF!</v>
      </c>
      <c r="EO5" t="e">
        <f>#REF!-"$&gt;\f!4$"</f>
        <v>#REF!</v>
      </c>
      <c r="EP5" t="e">
        <f>#REF!-"$&gt;\f!4%"</f>
        <v>#REF!</v>
      </c>
      <c r="EQ5" t="e">
        <f>#REF!-"$&gt;\f!4&amp;"</f>
        <v>#REF!</v>
      </c>
      <c r="ER5" t="e">
        <f>#REF!-"$&gt;\f!4'"</f>
        <v>#REF!</v>
      </c>
      <c r="ES5" t="e">
        <f>#REF!-"$&gt;\f!4("</f>
        <v>#REF!</v>
      </c>
      <c r="ET5" t="e">
        <f>#REF!-"$&gt;\f!4)"</f>
        <v>#REF!</v>
      </c>
      <c r="EU5" t="e">
        <f>#REF!-"$&gt;\f!4."</f>
        <v>#REF!</v>
      </c>
      <c r="EV5" t="e">
        <f>#REF!-"$&gt;\f!4/"</f>
        <v>#REF!</v>
      </c>
      <c r="EW5" t="e">
        <f>#REF!-"$&gt;\f!40"</f>
        <v>#REF!</v>
      </c>
      <c r="EX5" t="e">
        <f>#REF!-"$&gt;\f!41"</f>
        <v>#REF!</v>
      </c>
      <c r="EY5" t="e">
        <f>#REF!-"$&gt;\f!42"</f>
        <v>#REF!</v>
      </c>
      <c r="EZ5" t="e">
        <f>#REF!-"$&gt;\f!43"</f>
        <v>#REF!</v>
      </c>
      <c r="FA5" t="e">
        <f>#REF!-"$&gt;\f!44"</f>
        <v>#REF!</v>
      </c>
      <c r="FB5" t="e">
        <f>#REF!-"$&gt;\f!45"</f>
        <v>#REF!</v>
      </c>
      <c r="FC5" t="e">
        <f>#REF!-"$&gt;\f!46"</f>
        <v>#REF!</v>
      </c>
      <c r="FD5" t="e">
        <f>#REF!-"$&gt;\f!47"</f>
        <v>#REF!</v>
      </c>
      <c r="FE5" t="e">
        <f>#REF!-"$&gt;\f!48"</f>
        <v>#REF!</v>
      </c>
      <c r="FF5" t="e">
        <f>#REF!-"$&gt;\f!49"</f>
        <v>#REF!</v>
      </c>
      <c r="FG5" t="e">
        <f>#REF!-"$&gt;\f!4:"</f>
        <v>#REF!</v>
      </c>
      <c r="FH5" t="e">
        <f>#REF!-"$&gt;\f!4;"</f>
        <v>#REF!</v>
      </c>
      <c r="FI5" t="e">
        <f>#REF!-"$&gt;\f!4&lt;"</f>
        <v>#REF!</v>
      </c>
      <c r="FJ5" t="e">
        <f>#REF!-"$&gt;\f!4="</f>
        <v>#REF!</v>
      </c>
      <c r="FK5" t="e">
        <f>#REF!-"$&gt;\f!4&gt;"</f>
        <v>#REF!</v>
      </c>
      <c r="FL5" t="e">
        <f>#REF!-"$&gt;\f!4?"</f>
        <v>#REF!</v>
      </c>
      <c r="FM5" t="e">
        <f>#REF!-"$&gt;\f!4@"</f>
        <v>#REF!</v>
      </c>
      <c r="FN5" t="e">
        <f>#REF!-"$&gt;\f!4A"</f>
        <v>#REF!</v>
      </c>
      <c r="FO5" t="e">
        <f>#REF!-"$&gt;\f!4B"</f>
        <v>#REF!</v>
      </c>
      <c r="FP5" t="e">
        <f>#REF!-"$&gt;\f!4C"</f>
        <v>#REF!</v>
      </c>
      <c r="FQ5" t="e">
        <f>#REF!-"$&gt;\f!4D"</f>
        <v>#REF!</v>
      </c>
      <c r="FR5" t="e">
        <f>#REF!-"$&gt;\f!4E"</f>
        <v>#REF!</v>
      </c>
      <c r="FS5" t="e">
        <f>#REF!-"$&gt;\f!4F"</f>
        <v>#REF!</v>
      </c>
      <c r="FT5" t="e">
        <f>#REF!-"$&gt;\f!4G"</f>
        <v>#REF!</v>
      </c>
      <c r="FU5" t="e">
        <f>#REF!-"$&gt;\f!4H"</f>
        <v>#REF!</v>
      </c>
      <c r="FV5" t="e">
        <f>#REF!-"$&gt;\f!4I"</f>
        <v>#REF!</v>
      </c>
      <c r="FW5" t="e">
        <f>#REF!-"$&gt;\f!4J"</f>
        <v>#REF!</v>
      </c>
      <c r="FX5" t="e">
        <f>#REF!-"$&gt;\f!4K"</f>
        <v>#REF!</v>
      </c>
      <c r="FY5" t="e">
        <f>#REF!-"$&gt;\f!4L"</f>
        <v>#REF!</v>
      </c>
      <c r="FZ5" t="e">
        <f>#REF!-"$&gt;\f!4M"</f>
        <v>#REF!</v>
      </c>
      <c r="GA5" t="e">
        <f>#REF!-"$&gt;\f!4N"</f>
        <v>#REF!</v>
      </c>
      <c r="GB5" t="e">
        <f>#REF!-"$&gt;\f!4O"</f>
        <v>#REF!</v>
      </c>
      <c r="GC5" t="e">
        <f>#REF!-"$&gt;\f!4P"</f>
        <v>#REF!</v>
      </c>
      <c r="GD5" t="e">
        <f>#REF!-"$&gt;\f!4Q"</f>
        <v>#REF!</v>
      </c>
      <c r="GE5" t="e">
        <f>#REF!-"$&gt;\f!4R"</f>
        <v>#REF!</v>
      </c>
      <c r="GF5" t="e">
        <f>#REF!-"$&gt;\f!4S"</f>
        <v>#REF!</v>
      </c>
      <c r="GG5" t="e">
        <f>#REF!-"$&gt;\f!4T"</f>
        <v>#REF!</v>
      </c>
      <c r="GH5" t="e">
        <f>#REF!-"$&gt;\f!4U"</f>
        <v>#REF!</v>
      </c>
      <c r="GI5" t="e">
        <f>#REF!-"$&gt;\f!4V"</f>
        <v>#REF!</v>
      </c>
      <c r="GJ5" t="e">
        <f>#REF!-"$&gt;\f!4W"</f>
        <v>#REF!</v>
      </c>
      <c r="GK5" t="e">
        <f>#REF!-"$&gt;\f!4X"</f>
        <v>#REF!</v>
      </c>
      <c r="GL5" t="e">
        <f>#REF!-"$&gt;\f!4Y"</f>
        <v>#REF!</v>
      </c>
      <c r="GM5" t="e">
        <f>#REF!-"$&gt;\f!4Z"</f>
        <v>#REF!</v>
      </c>
      <c r="GN5" t="e">
        <f>#REF!-"$&gt;\f!4["</f>
        <v>#REF!</v>
      </c>
      <c r="GO5" t="e">
        <f>#REF!-"$&gt;\f!4\"</f>
        <v>#REF!</v>
      </c>
      <c r="GP5" t="e">
        <f>#REF!-"$&gt;\f!4]"</f>
        <v>#REF!</v>
      </c>
      <c r="GQ5" t="e">
        <f>#REF!-"$&gt;\f!4^"</f>
        <v>#REF!</v>
      </c>
      <c r="GR5" t="e">
        <f>#REF!-"$&gt;\f!4_"</f>
        <v>#REF!</v>
      </c>
      <c r="GS5" t="e">
        <f>#REF!-"$&gt;\f!4`"</f>
        <v>#REF!</v>
      </c>
      <c r="GT5" t="e">
        <f>#REF!-"$&gt;\f!4a"</f>
        <v>#REF!</v>
      </c>
      <c r="GU5" t="e">
        <f>#REF!-"$&gt;\f!4b"</f>
        <v>#REF!</v>
      </c>
      <c r="GV5" t="e">
        <f>#REF!-"$&gt;\f!4c"</f>
        <v>#REF!</v>
      </c>
      <c r="GW5" t="e">
        <f>#REF!-"$&gt;\f!4d"</f>
        <v>#REF!</v>
      </c>
      <c r="GX5" t="e">
        <f>#REF!-"$&gt;\f!4e"</f>
        <v>#REF!</v>
      </c>
      <c r="GY5" t="e">
        <f>#REF!-"$&gt;\f!4f"</f>
        <v>#REF!</v>
      </c>
      <c r="GZ5" t="e">
        <f>#REF!-"$&gt;\f!4g"</f>
        <v>#REF!</v>
      </c>
      <c r="HA5" t="e">
        <f>#REF!-"$&gt;\f!4h"</f>
        <v>#REF!</v>
      </c>
      <c r="HB5" t="e">
        <f>#REF!-"$&gt;\f!4i"</f>
        <v>#REF!</v>
      </c>
      <c r="HC5" t="e">
        <f>#REF!-"$&gt;\f!4j"</f>
        <v>#REF!</v>
      </c>
      <c r="HD5" t="e">
        <f>#REF!-"$&gt;\f!4k"</f>
        <v>#REF!</v>
      </c>
      <c r="HE5" t="e">
        <f>#REF!-"$&gt;\f!4l"</f>
        <v>#REF!</v>
      </c>
      <c r="HF5" t="e">
        <f>#REF!-"$&gt;\f!4m"</f>
        <v>#REF!</v>
      </c>
      <c r="HG5" t="e">
        <f>#REF!-"$&gt;\f!4n"</f>
        <v>#REF!</v>
      </c>
      <c r="HH5" t="e">
        <f>#REF!-"$&gt;\f!4o"</f>
        <v>#REF!</v>
      </c>
      <c r="HI5" t="e">
        <f>#REF!-"$&gt;\f!4p"</f>
        <v>#REF!</v>
      </c>
      <c r="HJ5" t="e">
        <f>#REF!-"$&gt;\f!4q"</f>
        <v>#REF!</v>
      </c>
      <c r="HK5" t="e">
        <f>#REF!-"$&gt;\f!4r"</f>
        <v>#REF!</v>
      </c>
      <c r="HL5" t="e">
        <f>#REF!-"$&gt;\f!4s"</f>
        <v>#REF!</v>
      </c>
      <c r="HM5" t="e">
        <f>#REF!-"$&gt;\f!4t"</f>
        <v>#REF!</v>
      </c>
      <c r="HN5" t="e">
        <f>#REF!-"$&gt;\f!4u"</f>
        <v>#REF!</v>
      </c>
      <c r="HO5" t="e">
        <f>#REF!-"$&gt;\f!4v"</f>
        <v>#REF!</v>
      </c>
      <c r="HP5" t="e">
        <f>#REF!-"$&gt;\f!4w"</f>
        <v>#REF!</v>
      </c>
      <c r="HQ5" t="e">
        <f>#REF!-"$&gt;\f!4x"</f>
        <v>#REF!</v>
      </c>
      <c r="HR5" t="e">
        <f>#REF!-"$&gt;\f!4y"</f>
        <v>#REF!</v>
      </c>
      <c r="HS5" t="e">
        <f>#REF!-"$&gt;\f!4z"</f>
        <v>#REF!</v>
      </c>
      <c r="HT5" t="e">
        <f>#REF!-"$&gt;\f!4{"</f>
        <v>#REF!</v>
      </c>
      <c r="HU5" t="e">
        <f>#REF!-"$&gt;\f!4|"</f>
        <v>#REF!</v>
      </c>
      <c r="HV5" t="e">
        <f>#REF!-"$&gt;\f!4}"</f>
        <v>#REF!</v>
      </c>
      <c r="HW5" t="e">
        <f>#REF!-"$&gt;\f!4~"</f>
        <v>#REF!</v>
      </c>
      <c r="HX5" t="e">
        <f>#REF!-"$&gt;\f!5#"</f>
        <v>#REF!</v>
      </c>
      <c r="HY5" t="e">
        <f>#REF!-"$&gt;\f!5$"</f>
        <v>#REF!</v>
      </c>
      <c r="HZ5" t="e">
        <f>#REF!-"$&gt;\f!5%"</f>
        <v>#REF!</v>
      </c>
      <c r="IA5" t="e">
        <f>#REF!-"$&gt;\f!5&amp;"</f>
        <v>#REF!</v>
      </c>
      <c r="IB5" t="e">
        <f>#REF!-"$&gt;\f!5'"</f>
        <v>#REF!</v>
      </c>
      <c r="IC5" t="e">
        <f>#REF!-"$&gt;\f!5("</f>
        <v>#REF!</v>
      </c>
      <c r="ID5" t="e">
        <f>#REF!-"$&gt;\f!5)"</f>
        <v>#REF!</v>
      </c>
      <c r="IE5" t="e">
        <f>#REF!-"$&gt;\f!5."</f>
        <v>#REF!</v>
      </c>
      <c r="IF5" t="e">
        <f>#REF!-"$&gt;\f!5/"</f>
        <v>#REF!</v>
      </c>
      <c r="IG5" t="e">
        <f>#REF!-"$&gt;\f!50"</f>
        <v>#REF!</v>
      </c>
      <c r="IH5" t="e">
        <f>#REF!-"$&gt;\f!51"</f>
        <v>#REF!</v>
      </c>
      <c r="II5" t="e">
        <f>#REF!-"$&gt;\f!52"</f>
        <v>#REF!</v>
      </c>
      <c r="IJ5" t="e">
        <f>#REF!-"$&gt;\f!53"</f>
        <v>#REF!</v>
      </c>
      <c r="IK5" t="e">
        <f>#REF!-"$&gt;\f!54"</f>
        <v>#REF!</v>
      </c>
      <c r="IL5" t="e">
        <f>#REF!-"$&gt;\f!55"</f>
        <v>#REF!</v>
      </c>
      <c r="IM5" t="e">
        <f>#REF!-"$&gt;\f!56"</f>
        <v>#REF!</v>
      </c>
      <c r="IN5" t="e">
        <f>#REF!-"$&gt;\f!57"</f>
        <v>#REF!</v>
      </c>
      <c r="IO5" t="e">
        <f>#REF!-"$&gt;\f!58"</f>
        <v>#REF!</v>
      </c>
      <c r="IP5" t="e">
        <f>#REF!-"$&gt;\f!59"</f>
        <v>#REF!</v>
      </c>
      <c r="IQ5" t="e">
        <f>#REF!-"$&gt;\f!5:"</f>
        <v>#REF!</v>
      </c>
      <c r="IR5" t="e">
        <f>#REF!-"$&gt;\f!5;"</f>
        <v>#REF!</v>
      </c>
      <c r="IS5" t="e">
        <f>#REF!-"$&gt;\f!5&lt;"</f>
        <v>#REF!</v>
      </c>
      <c r="IT5" t="e">
        <f>#REF!-"$&gt;\f!5="</f>
        <v>#REF!</v>
      </c>
      <c r="IU5" t="e">
        <f>#REF!-"$&gt;\f!5&gt;"</f>
        <v>#REF!</v>
      </c>
      <c r="IV5" t="e">
        <f>#REF!-"$&gt;\f!5?"</f>
        <v>#REF!</v>
      </c>
    </row>
    <row r="6" spans="1:256" x14ac:dyDescent="0.25">
      <c r="F6" t="e">
        <f>#REF!-"$&gt;\f!5@"</f>
        <v>#REF!</v>
      </c>
      <c r="G6" t="e">
        <f>#REF!-"$&gt;\f!5A"</f>
        <v>#REF!</v>
      </c>
      <c r="H6" t="e">
        <f>#REF!-"$&gt;\f!5B"</f>
        <v>#REF!</v>
      </c>
      <c r="I6" t="e">
        <f>#REF!-"$&gt;\f!5C"</f>
        <v>#REF!</v>
      </c>
      <c r="J6" t="e">
        <f>#REF!-"$&gt;\f!5D"</f>
        <v>#REF!</v>
      </c>
      <c r="K6" t="e">
        <f>#REF!-"$&gt;\f!5E"</f>
        <v>#REF!</v>
      </c>
      <c r="L6" t="e">
        <f>#REF!-"$&gt;\f!5F"</f>
        <v>#REF!</v>
      </c>
      <c r="M6" t="e">
        <f>#REF!-"$&gt;\f!5G"</f>
        <v>#REF!</v>
      </c>
      <c r="N6" t="e">
        <f>#REF!-"$&gt;\f!5H"</f>
        <v>#REF!</v>
      </c>
      <c r="O6" t="e">
        <f>#REF!-"$&gt;\f!5I"</f>
        <v>#REF!</v>
      </c>
      <c r="P6" t="e">
        <f>#REF!-"$&gt;\f!5J"</f>
        <v>#REF!</v>
      </c>
      <c r="Q6" t="e">
        <f>#REF!-"$&gt;\f!5K"</f>
        <v>#REF!</v>
      </c>
      <c r="R6" t="e">
        <f>#REF!-"$&gt;\f!5L"</f>
        <v>#REF!</v>
      </c>
      <c r="S6" t="e">
        <f>#REF!-"$&gt;\f!5M"</f>
        <v>#REF!</v>
      </c>
      <c r="T6" t="e">
        <f>#REF!-"$&gt;\f!5N"</f>
        <v>#REF!</v>
      </c>
      <c r="U6" t="e">
        <f>#REF!-"$&gt;\f!5O"</f>
        <v>#REF!</v>
      </c>
      <c r="V6" t="e">
        <f>#REF!-"$&gt;\f!5P"</f>
        <v>#REF!</v>
      </c>
      <c r="W6" t="e">
        <f>#REF!-"$&gt;\f!5Q"</f>
        <v>#REF!</v>
      </c>
      <c r="X6" t="e">
        <f>#REF!-"$&gt;\f!5R"</f>
        <v>#REF!</v>
      </c>
      <c r="Y6" t="e">
        <f>#REF!-"$&gt;\f!5S"</f>
        <v>#REF!</v>
      </c>
      <c r="Z6" t="e">
        <f>#REF!-"$&gt;\f!5T"</f>
        <v>#REF!</v>
      </c>
      <c r="AA6" t="e">
        <f>#REF!-"$&gt;\f!5U"</f>
        <v>#REF!</v>
      </c>
      <c r="AB6" t="e">
        <f>#REF!+"$&gt;\f!5V"</f>
        <v>#REF!</v>
      </c>
      <c r="AC6" t="e">
        <f>#REF!+"$&gt;\f!5W"</f>
        <v>#REF!</v>
      </c>
      <c r="AD6" t="e">
        <f>#REF!+"$&gt;\f!5X"</f>
        <v>#REF!</v>
      </c>
      <c r="AE6" t="e">
        <f>#REF!+"$&gt;\f!5Y"</f>
        <v>#REF!</v>
      </c>
      <c r="AF6" t="e">
        <f>#REF!+"$&gt;\f!5Z"</f>
        <v>#REF!</v>
      </c>
      <c r="AG6" t="e">
        <f>#REF!+"$&gt;\f!5["</f>
        <v>#REF!</v>
      </c>
      <c r="AH6" t="e">
        <f>#REF!+"$&gt;\f!5\"</f>
        <v>#REF!</v>
      </c>
      <c r="AI6" t="e">
        <f>#REF!+"$&gt;\f!5]"</f>
        <v>#REF!</v>
      </c>
      <c r="AJ6" t="e">
        <f>#REF!+"$&gt;\f!5^"</f>
        <v>#REF!</v>
      </c>
      <c r="AK6" t="e">
        <f>#REF!+"$&gt;\f!5_"</f>
        <v>#REF!</v>
      </c>
      <c r="AL6" t="e">
        <f>#REF!+"$&gt;\f!5`"</f>
        <v>#REF!</v>
      </c>
      <c r="AM6" t="e">
        <f>#REF!+"$&gt;\f!5a"</f>
        <v>#REF!</v>
      </c>
      <c r="AN6" t="e">
        <f>#REF!+"$&gt;\f!5b"</f>
        <v>#REF!</v>
      </c>
      <c r="AO6" t="e">
        <f>#REF!+"$&gt;\f!5c"</f>
        <v>#REF!</v>
      </c>
      <c r="AP6" t="e">
        <f>#REF!+"$&gt;\f!5d"</f>
        <v>#REF!</v>
      </c>
      <c r="AQ6" t="e">
        <f>#REF!+"$&gt;\f!5e"</f>
        <v>#REF!</v>
      </c>
      <c r="AR6" t="e">
        <f>#REF!+"$&gt;\f!5f"</f>
        <v>#REF!</v>
      </c>
      <c r="AS6" t="e">
        <f>#REF!+"$&gt;\f!5g"</f>
        <v>#REF!</v>
      </c>
      <c r="AT6" t="e">
        <f>#REF!+"$&gt;\f!5h"</f>
        <v>#REF!</v>
      </c>
      <c r="AU6" t="e">
        <f>#REF!+"$&gt;\f!5i"</f>
        <v>#REF!</v>
      </c>
      <c r="AV6" t="e">
        <f>#REF!+"$&gt;\f!5j"</f>
        <v>#REF!</v>
      </c>
      <c r="AW6" t="e">
        <f>#REF!+"$&gt;\f!5k"</f>
        <v>#REF!</v>
      </c>
      <c r="AX6" t="e">
        <f>#REF!+"$&gt;\f!5l"</f>
        <v>#REF!</v>
      </c>
      <c r="AY6" t="e">
        <f>#REF!+"$&gt;\f!5m"</f>
        <v>#REF!</v>
      </c>
      <c r="AZ6" t="e">
        <f>#REF!+"$&gt;\f!5n"</f>
        <v>#REF!</v>
      </c>
      <c r="BA6" t="e">
        <f>#REF!+"$&gt;\f!5o"</f>
        <v>#REF!</v>
      </c>
      <c r="BB6" t="e">
        <f>#REF!+"$&gt;\f!5p"</f>
        <v>#REF!</v>
      </c>
      <c r="BC6" t="e">
        <f>#REF!+"$&gt;\f!5q"</f>
        <v>#REF!</v>
      </c>
      <c r="BD6" t="e">
        <f>#REF!+"$&gt;\f!5r"</f>
        <v>#REF!</v>
      </c>
      <c r="BE6" t="e">
        <f>#REF!+"$&gt;\f!5s"</f>
        <v>#REF!</v>
      </c>
      <c r="BF6" t="e">
        <f>#REF!+"$&gt;\f!5t"</f>
        <v>#REF!</v>
      </c>
      <c r="BG6" t="e">
        <f>#REF!+"$&gt;\f!5u"</f>
        <v>#REF!</v>
      </c>
      <c r="BH6" t="e">
        <f>#REF!+"$&gt;\f!5v"</f>
        <v>#REF!</v>
      </c>
      <c r="BI6" t="e">
        <f>#REF!+"$&gt;\f!5w"</f>
        <v>#REF!</v>
      </c>
      <c r="BJ6" t="e">
        <f>#REF!+"$&gt;\f!5x"</f>
        <v>#REF!</v>
      </c>
      <c r="BK6" t="e">
        <f>#REF!+"$&gt;\f!5y"</f>
        <v>#REF!</v>
      </c>
      <c r="BL6" t="e">
        <f>#REF!+"$&gt;\f!5z"</f>
        <v>#REF!</v>
      </c>
      <c r="BM6" t="e">
        <f>#REF!+"$&gt;\f!5{"</f>
        <v>#REF!</v>
      </c>
      <c r="BN6" t="e">
        <f>#REF!+"$&gt;\f!5|"</f>
        <v>#REF!</v>
      </c>
      <c r="BO6" t="e">
        <f>#REF!+"$&gt;\f!5}"</f>
        <v>#REF!</v>
      </c>
      <c r="BP6" t="e">
        <f>#REF!+"$&gt;\f!5~"</f>
        <v>#REF!</v>
      </c>
      <c r="BQ6" t="e">
        <f>#REF!+"$&gt;\f!6#"</f>
        <v>#REF!</v>
      </c>
      <c r="BR6" t="e">
        <f>#REF!+"$&gt;\f!6$"</f>
        <v>#REF!</v>
      </c>
      <c r="BS6" t="e">
        <f>#REF!+"$&gt;\f!6%"</f>
        <v>#REF!</v>
      </c>
      <c r="BT6" t="e">
        <f>#REF!+"$&gt;\f!6&amp;"</f>
        <v>#REF!</v>
      </c>
      <c r="BU6" t="e">
        <f>#REF!+"$&gt;\f!6'"</f>
        <v>#REF!</v>
      </c>
      <c r="BV6" t="e">
        <f>#REF!+"$&gt;\f!6("</f>
        <v>#REF!</v>
      </c>
      <c r="BW6" t="e">
        <f>#REF!+"$&gt;\f!6)"</f>
        <v>#REF!</v>
      </c>
      <c r="BX6" t="e">
        <f>#REF!+"$&gt;\f!6."</f>
        <v>#REF!</v>
      </c>
      <c r="BY6" t="e">
        <f>#REF!+"$&gt;\f!6/"</f>
        <v>#REF!</v>
      </c>
      <c r="BZ6" t="e">
        <f>#REF!+"$&gt;\f!60"</f>
        <v>#REF!</v>
      </c>
      <c r="CA6" t="e">
        <f>#REF!+"$&gt;\f!61"</f>
        <v>#REF!</v>
      </c>
      <c r="CB6" t="e">
        <f>#REF!+"$&gt;\f!62"</f>
        <v>#REF!</v>
      </c>
      <c r="CC6" t="e">
        <f>#REF!+"$&gt;\f!63"</f>
        <v>#REF!</v>
      </c>
      <c r="CD6" t="e">
        <f>#REF!+"$&gt;\f!64"</f>
        <v>#REF!</v>
      </c>
      <c r="CE6" t="e">
        <f>#REF!+"$&gt;\f!65"</f>
        <v>#REF!</v>
      </c>
      <c r="CF6" t="e">
        <f>#REF!+"$&gt;\f!66"</f>
        <v>#REF!</v>
      </c>
      <c r="CG6" t="e">
        <f>#REF!+"$&gt;\f!67"</f>
        <v>#REF!</v>
      </c>
      <c r="CH6" t="e">
        <f>#REF!+"$&gt;\f!68"</f>
        <v>#REF!</v>
      </c>
      <c r="CI6" t="e">
        <f>#REF!+"$&gt;\f!69"</f>
        <v>#REF!</v>
      </c>
      <c r="CJ6" t="e">
        <f>#REF!+"$&gt;\f!6:"</f>
        <v>#REF!</v>
      </c>
      <c r="CK6" t="e">
        <f>#REF!+"$&gt;\f!6;"</f>
        <v>#REF!</v>
      </c>
      <c r="CL6" t="e">
        <f>#REF!+"$&gt;\f!6&lt;"</f>
        <v>#REF!</v>
      </c>
      <c r="CM6" t="e">
        <f>#REF!+"$&gt;\f!6="</f>
        <v>#REF!</v>
      </c>
      <c r="CN6" t="e">
        <f>#REF!+"$&gt;\f!6&gt;"</f>
        <v>#REF!</v>
      </c>
      <c r="CO6" t="e">
        <f>#REF!+"$&gt;\f!6?"</f>
        <v>#REF!</v>
      </c>
      <c r="CP6" t="e">
        <f>#REF!+"$&gt;\f!6@"</f>
        <v>#REF!</v>
      </c>
      <c r="CQ6" t="e">
        <f>#REF!+"$&gt;\f!6A"</f>
        <v>#REF!</v>
      </c>
      <c r="CR6" t="e">
        <f>#REF!+"$&gt;\f!6B"</f>
        <v>#REF!</v>
      </c>
      <c r="CS6" t="e">
        <f>#REF!+"$&gt;\f!6C"</f>
        <v>#REF!</v>
      </c>
      <c r="CT6" t="e">
        <f>#REF!+"$&gt;\f!6D"</f>
        <v>#REF!</v>
      </c>
      <c r="CU6" t="e">
        <f>#REF!+"$&gt;\f!6E"</f>
        <v>#REF!</v>
      </c>
      <c r="CV6" t="e">
        <f>#REF!+"$&gt;\f!6F"</f>
        <v>#REF!</v>
      </c>
      <c r="CW6" t="e">
        <f>#REF!+"$&gt;\f!6G"</f>
        <v>#REF!</v>
      </c>
      <c r="CX6" t="e">
        <f>#REF!+"$&gt;\f!6H"</f>
        <v>#REF!</v>
      </c>
      <c r="CY6" t="e">
        <f>#REF!+"$&gt;\f!6I"</f>
        <v>#REF!</v>
      </c>
      <c r="CZ6" t="e">
        <f>#REF!+"$&gt;\f!6J"</f>
        <v>#REF!</v>
      </c>
      <c r="DA6" t="e">
        <f>#REF!+"$&gt;\f!6K"</f>
        <v>#REF!</v>
      </c>
      <c r="DB6" t="e">
        <f>#REF!+"$&gt;\f!6L"</f>
        <v>#REF!</v>
      </c>
      <c r="DC6" t="e">
        <f>#REF!+"$&gt;\f!6M"</f>
        <v>#REF!</v>
      </c>
      <c r="DD6" t="e">
        <f>#REF!+"$&gt;\f!6N"</f>
        <v>#REF!</v>
      </c>
      <c r="DE6" t="e">
        <f>#REF!+"$&gt;\f!6O"</f>
        <v>#REF!</v>
      </c>
      <c r="DF6" t="e">
        <f>#REF!+"$&gt;\f!6P"</f>
        <v>#REF!</v>
      </c>
      <c r="DG6" t="e">
        <f>#REF!+"$&gt;\f!6Q"</f>
        <v>#REF!</v>
      </c>
      <c r="DH6" t="e">
        <f>#REF!+"$&gt;\f!6R"</f>
        <v>#REF!</v>
      </c>
      <c r="DI6" t="e">
        <f>#REF!+"$&gt;\f!6S"</f>
        <v>#REF!</v>
      </c>
      <c r="DJ6" t="e">
        <f>#REF!+"$&gt;\f!6T"</f>
        <v>#REF!</v>
      </c>
      <c r="DK6" t="e">
        <f>#REF!+"$&gt;\f!6U"</f>
        <v>#REF!</v>
      </c>
      <c r="DL6" t="e">
        <f>#REF!+"$&gt;\f!6V"</f>
        <v>#REF!</v>
      </c>
      <c r="DM6" t="e">
        <f>#REF!+"$&gt;\f!6W"</f>
        <v>#REF!</v>
      </c>
      <c r="DN6" t="e">
        <f>#REF!+"$&gt;\f!6X"</f>
        <v>#REF!</v>
      </c>
      <c r="DO6" t="e">
        <f>#REF!+"$&gt;\f!6Y"</f>
        <v>#REF!</v>
      </c>
      <c r="DP6" t="e">
        <f>#REF!+"$&gt;\f!6Z"</f>
        <v>#REF!</v>
      </c>
      <c r="DQ6" t="e">
        <f>#REF!+"$&gt;\f!6["</f>
        <v>#REF!</v>
      </c>
      <c r="DR6" t="e">
        <f>#REF!+"$&gt;\f!6\"</f>
        <v>#REF!</v>
      </c>
      <c r="DS6" t="e">
        <f>#REF!+"$&gt;\f!6]"</f>
        <v>#REF!</v>
      </c>
      <c r="DT6" t="e">
        <f>#REF!+"$&gt;\f!6^"</f>
        <v>#REF!</v>
      </c>
      <c r="DU6" t="e">
        <f>#REF!+"$&gt;\f!6_"</f>
        <v>#REF!</v>
      </c>
      <c r="DV6" t="e">
        <f>#REF!+"$&gt;\f!6`"</f>
        <v>#REF!</v>
      </c>
      <c r="DW6" t="e">
        <f>#REF!+"$&gt;\f!6a"</f>
        <v>#REF!</v>
      </c>
      <c r="DX6" t="e">
        <f>#REF!+"$&gt;\f!6b"</f>
        <v>#REF!</v>
      </c>
      <c r="DY6" t="e">
        <f>#REF!+"$&gt;\f!6c"</f>
        <v>#REF!</v>
      </c>
      <c r="DZ6" t="e">
        <f>#REF!+"$&gt;\f!6d"</f>
        <v>#REF!</v>
      </c>
      <c r="EA6" t="e">
        <f>#REF!+"$&gt;\f!6e"</f>
        <v>#REF!</v>
      </c>
      <c r="EB6" t="e">
        <f>#REF!+"$&gt;\f!6f"</f>
        <v>#REF!</v>
      </c>
      <c r="EC6" t="e">
        <f>#REF!+"$&gt;\f!6g"</f>
        <v>#REF!</v>
      </c>
      <c r="ED6" t="e">
        <f>#REF!+"$&gt;\f!6h"</f>
        <v>#REF!</v>
      </c>
      <c r="EE6" t="e">
        <f>#REF!+"$&gt;\f!6i"</f>
        <v>#REF!</v>
      </c>
      <c r="EF6" t="e">
        <f>#REF!+"$&gt;\f!6j"</f>
        <v>#REF!</v>
      </c>
      <c r="EG6" t="e">
        <f>#REF!+"$&gt;\f!6k"</f>
        <v>#REF!</v>
      </c>
      <c r="EH6" t="e">
        <f>#REF!+"$&gt;\f!6l"</f>
        <v>#REF!</v>
      </c>
      <c r="EI6" t="e">
        <f>#REF!+"$&gt;\f!6m"</f>
        <v>#REF!</v>
      </c>
      <c r="EJ6" t="e">
        <f>#REF!+"$&gt;\f!6n"</f>
        <v>#REF!</v>
      </c>
      <c r="EK6" t="e">
        <f>#REF!+"$&gt;\f!6o"</f>
        <v>#REF!</v>
      </c>
      <c r="EL6" t="e">
        <f>#REF!+"$&gt;\f!6p"</f>
        <v>#REF!</v>
      </c>
      <c r="EM6" t="e">
        <f>#REF!+"$&gt;\f!6q"</f>
        <v>#REF!</v>
      </c>
      <c r="EN6" t="e">
        <f>#REF!+"$&gt;\f!6r"</f>
        <v>#REF!</v>
      </c>
      <c r="EO6" t="e">
        <f>#REF!+"$&gt;\f!6s"</f>
        <v>#REF!</v>
      </c>
      <c r="EP6" t="e">
        <f>#REF!+"$&gt;\f!6t"</f>
        <v>#REF!</v>
      </c>
      <c r="EQ6" t="e">
        <f>#REF!+"$&gt;\f!6u"</f>
        <v>#REF!</v>
      </c>
      <c r="ER6" t="e">
        <f>#REF!+"$&gt;\f!6v"</f>
        <v>#REF!</v>
      </c>
      <c r="ES6" t="e">
        <f>#REF!+"$&gt;\f!6w"</f>
        <v>#REF!</v>
      </c>
      <c r="ET6" t="e">
        <f>#REF!+"$&gt;\f!6x"</f>
        <v>#REF!</v>
      </c>
      <c r="EU6" t="e">
        <f>#REF!+"$&gt;\f!6y"</f>
        <v>#REF!</v>
      </c>
      <c r="EV6" t="e">
        <f>#REF!+"$&gt;\f!6z"</f>
        <v>#REF!</v>
      </c>
      <c r="EW6" t="e">
        <f>#REF!+"$&gt;\f!6{"</f>
        <v>#REF!</v>
      </c>
      <c r="EX6" t="e">
        <f>#REF!+"$&gt;\f!6|"</f>
        <v>#REF!</v>
      </c>
      <c r="EY6" t="e">
        <f>#REF!+"$&gt;\f!6}"</f>
        <v>#REF!</v>
      </c>
      <c r="EZ6" t="e">
        <f>#REF!+"$&gt;\f!6~"</f>
        <v>#REF!</v>
      </c>
      <c r="FA6" t="e">
        <f>#REF!+"$&gt;\f!7#"</f>
        <v>#REF!</v>
      </c>
      <c r="FB6" t="e">
        <f>#REF!+"$&gt;\f!7$"</f>
        <v>#REF!</v>
      </c>
      <c r="FC6" t="e">
        <f>#REF!+"$&gt;\f!7%"</f>
        <v>#REF!</v>
      </c>
      <c r="FD6" t="e">
        <f>#REF!+"$&gt;\f!7&amp;"</f>
        <v>#REF!</v>
      </c>
      <c r="FE6" t="e">
        <f>#REF!+"$&gt;\f!7'"</f>
        <v>#REF!</v>
      </c>
      <c r="FF6" t="e">
        <f>#REF!+"$&gt;\f!7("</f>
        <v>#REF!</v>
      </c>
      <c r="FG6" t="e">
        <f>#REF!+"$&gt;\f!7)"</f>
        <v>#REF!</v>
      </c>
      <c r="FH6" t="e">
        <f>#REF!+"$&gt;\f!7."</f>
        <v>#REF!</v>
      </c>
      <c r="FI6" t="e">
        <f>#REF!+"$&gt;\f!7/"</f>
        <v>#REF!</v>
      </c>
      <c r="FJ6" t="e">
        <f>#REF!+"$&gt;\f!70"</f>
        <v>#REF!</v>
      </c>
      <c r="FK6" t="e">
        <f>#REF!+"$&gt;\f!71"</f>
        <v>#REF!</v>
      </c>
      <c r="FL6" t="e">
        <f>#REF!+"$&gt;\f!72"</f>
        <v>#REF!</v>
      </c>
      <c r="FM6" t="e">
        <f>#REF!+"$&gt;\f!73"</f>
        <v>#REF!</v>
      </c>
      <c r="FN6" t="e">
        <f>#REF!+"$&gt;\f!74"</f>
        <v>#REF!</v>
      </c>
      <c r="FO6" t="e">
        <f>#REF!+"$&gt;\f!75"</f>
        <v>#REF!</v>
      </c>
      <c r="FP6" t="e">
        <f>#REF!+"$&gt;\f!76"</f>
        <v>#REF!</v>
      </c>
      <c r="FQ6" t="e">
        <f>#REF!+"$&gt;\f!77"</f>
        <v>#REF!</v>
      </c>
      <c r="FR6" t="e">
        <f>#REF!+"$&gt;\f!78"</f>
        <v>#REF!</v>
      </c>
      <c r="FS6" t="e">
        <f>#REF!+"$&gt;\f!79"</f>
        <v>#REF!</v>
      </c>
      <c r="FT6" t="e">
        <f>#REF!+"$&gt;\f!7:"</f>
        <v>#REF!</v>
      </c>
      <c r="FU6" t="e">
        <f>#REF!+"$&gt;\f!7;"</f>
        <v>#REF!</v>
      </c>
      <c r="FV6" t="e">
        <f>#REF!+"$&gt;\f!7&lt;"</f>
        <v>#REF!</v>
      </c>
      <c r="FW6" t="e">
        <f>#REF!+"$&gt;\f!7="</f>
        <v>#REF!</v>
      </c>
      <c r="FX6" t="e">
        <f>#REF!+"$&gt;\f!7&gt;"</f>
        <v>#REF!</v>
      </c>
      <c r="FY6" t="e">
        <f>#REF!+"$&gt;\f!7?"</f>
        <v>#REF!</v>
      </c>
      <c r="FZ6" t="e">
        <f>#REF!+"$&gt;\f!7@"</f>
        <v>#REF!</v>
      </c>
      <c r="GA6" t="e">
        <f>#REF!+"$&gt;\f!7A"</f>
        <v>#REF!</v>
      </c>
      <c r="GB6" t="e">
        <f>#REF!+"$&gt;\f!7B"</f>
        <v>#REF!</v>
      </c>
      <c r="GC6" t="e">
        <f>#REF!+"$&gt;\f!7C"</f>
        <v>#REF!</v>
      </c>
      <c r="GD6" t="e">
        <f>#REF!+"$&gt;\f!7D"</f>
        <v>#REF!</v>
      </c>
      <c r="GE6" t="e">
        <f>#REF!+"$&gt;\f!7E"</f>
        <v>#REF!</v>
      </c>
      <c r="GF6" t="e">
        <f>#REF!+"$&gt;\f!7F"</f>
        <v>#REF!</v>
      </c>
      <c r="GG6" t="e">
        <f>#REF!+"$&gt;\f!7G"</f>
        <v>#REF!</v>
      </c>
      <c r="GH6" t="e">
        <f>#REF!+"$&gt;\f!7H"</f>
        <v>#REF!</v>
      </c>
      <c r="GI6" t="e">
        <f>#REF!+"$&gt;\f!7I"</f>
        <v>#REF!</v>
      </c>
      <c r="GJ6" t="e">
        <f>#REF!+"$&gt;\f!7J"</f>
        <v>#REF!</v>
      </c>
      <c r="GK6" t="e">
        <f>#REF!+"$&gt;\f!7K"</f>
        <v>#REF!</v>
      </c>
      <c r="GL6" t="e">
        <f>#REF!+"$&gt;\f!7L"</f>
        <v>#REF!</v>
      </c>
      <c r="GM6" t="e">
        <f>#REF!+"$&gt;\f!7M"</f>
        <v>#REF!</v>
      </c>
      <c r="GN6" t="e">
        <f>#REF!+"$&gt;\f!7N"</f>
        <v>#REF!</v>
      </c>
      <c r="GO6" t="e">
        <f>#REF!+"$&gt;\f!7O"</f>
        <v>#REF!</v>
      </c>
      <c r="GP6" t="e">
        <f>#REF!+"$&gt;\f!7P"</f>
        <v>#REF!</v>
      </c>
      <c r="GQ6" t="e">
        <f>#REF!+"$&gt;\f!7Q"</f>
        <v>#REF!</v>
      </c>
      <c r="GR6" t="e">
        <f>#REF!+"$&gt;\f!7R"</f>
        <v>#REF!</v>
      </c>
      <c r="GS6" t="e">
        <f>#REF!+"$&gt;\f!7S"</f>
        <v>#REF!</v>
      </c>
      <c r="GT6" t="e">
        <f>#REF!+"$&gt;\f!7T"</f>
        <v>#REF!</v>
      </c>
      <c r="GU6" t="e">
        <f>#REF!+"$&gt;\f!7U"</f>
        <v>#REF!</v>
      </c>
      <c r="GV6" t="e">
        <f>#REF!+"$&gt;\f!7V"</f>
        <v>#REF!</v>
      </c>
      <c r="GW6" t="e">
        <f>#REF!+"$&gt;\f!7W"</f>
        <v>#REF!</v>
      </c>
      <c r="GX6" t="e">
        <f>#REF!+"$&gt;\f!7X"</f>
        <v>#REF!</v>
      </c>
      <c r="GY6" t="e">
        <f>#REF!+"$&gt;\f!7Y"</f>
        <v>#REF!</v>
      </c>
      <c r="GZ6" t="e">
        <f>#REF!+"$&gt;\f!7Z"</f>
        <v>#REF!</v>
      </c>
      <c r="HA6" t="e">
        <f>#REF!+"$&gt;\f!7["</f>
        <v>#REF!</v>
      </c>
      <c r="HB6" t="e">
        <f>#REF!+"$&gt;\f!7\"</f>
        <v>#REF!</v>
      </c>
      <c r="HC6" t="e">
        <f>#REF!+"$&gt;\f!7]"</f>
        <v>#REF!</v>
      </c>
      <c r="HD6" t="e">
        <f>#REF!+"$&gt;\f!7^"</f>
        <v>#REF!</v>
      </c>
      <c r="HE6" t="e">
        <f>#REF!+"$&gt;\f!7_"</f>
        <v>#REF!</v>
      </c>
      <c r="HF6" t="e">
        <f>#REF!+"$&gt;\f!7`"</f>
        <v>#REF!</v>
      </c>
      <c r="HG6" t="e">
        <f>#REF!+"$&gt;\f!7a"</f>
        <v>#REF!</v>
      </c>
      <c r="HH6" t="e">
        <f>#REF!+"$&gt;\f!7b"</f>
        <v>#REF!</v>
      </c>
      <c r="HI6" t="e">
        <f>#REF!+"$&gt;\f!7c"</f>
        <v>#REF!</v>
      </c>
      <c r="HJ6" t="e">
        <f>#REF!+"$&gt;\f!7d"</f>
        <v>#REF!</v>
      </c>
      <c r="HK6" t="e">
        <f>#REF!+"$&gt;\f!7e"</f>
        <v>#REF!</v>
      </c>
      <c r="HL6" t="e">
        <f>#REF!+"$&gt;\f!7f"</f>
        <v>#REF!</v>
      </c>
      <c r="HM6" t="e">
        <f>#REF!+"$&gt;\f!7g"</f>
        <v>#REF!</v>
      </c>
      <c r="HN6" t="e">
        <f>#REF!+"$&gt;\f!7h"</f>
        <v>#REF!</v>
      </c>
      <c r="HO6" t="e">
        <f>#REF!+"$&gt;\f!7i"</f>
        <v>#REF!</v>
      </c>
      <c r="HP6" t="e">
        <f>#REF!+"$&gt;\f!7j"</f>
        <v>#REF!</v>
      </c>
      <c r="HQ6" t="e">
        <f>#REF!+"$&gt;\f!7k"</f>
        <v>#REF!</v>
      </c>
      <c r="HR6" t="e">
        <f>#REF!+"$&gt;\f!7l"</f>
        <v>#REF!</v>
      </c>
      <c r="HS6" t="e">
        <f>#REF!+"$&gt;\f!7m"</f>
        <v>#REF!</v>
      </c>
      <c r="HT6" t="e">
        <f>#REF!+"$&gt;\f!7n"</f>
        <v>#REF!</v>
      </c>
      <c r="HU6" t="e">
        <f>#REF!+"$&gt;\f!7o"</f>
        <v>#REF!</v>
      </c>
      <c r="HV6" t="e">
        <f>#REF!+"$&gt;\f!7p"</f>
        <v>#REF!</v>
      </c>
      <c r="HW6" t="e">
        <f>#REF!+"$&gt;\f!7q"</f>
        <v>#REF!</v>
      </c>
      <c r="HX6" t="e">
        <f>#REF!+"$&gt;\f!7r"</f>
        <v>#REF!</v>
      </c>
      <c r="HY6" t="e">
        <f>#REF!+"$&gt;\f!7s"</f>
        <v>#REF!</v>
      </c>
      <c r="HZ6" t="e">
        <f>#REF!+"$&gt;\f!7t"</f>
        <v>#REF!</v>
      </c>
      <c r="IA6" t="e">
        <f>#REF!+"$&gt;\f!7u"</f>
        <v>#REF!</v>
      </c>
      <c r="IB6" t="e">
        <f>#REF!+"$&gt;\f!7v"</f>
        <v>#REF!</v>
      </c>
      <c r="IC6" t="e">
        <f>#REF!+"$&gt;\f!7w"</f>
        <v>#REF!</v>
      </c>
      <c r="ID6" t="e">
        <f>#REF!+"$&gt;\f!7x"</f>
        <v>#REF!</v>
      </c>
      <c r="IE6" t="e">
        <f>#REF!+"$&gt;\f!7y"</f>
        <v>#REF!</v>
      </c>
      <c r="IF6" t="e">
        <f>#REF!+"$&gt;\f!7z"</f>
        <v>#REF!</v>
      </c>
      <c r="IG6" t="e">
        <f>#REF!+"$&gt;\f!7{"</f>
        <v>#REF!</v>
      </c>
      <c r="IH6" t="e">
        <f>#REF!+"$&gt;\f!7|"</f>
        <v>#REF!</v>
      </c>
      <c r="II6" t="e">
        <f>#REF!+"$&gt;\f!7}"</f>
        <v>#REF!</v>
      </c>
      <c r="IJ6" t="e">
        <f>#REF!+"$&gt;\f!7~"</f>
        <v>#REF!</v>
      </c>
      <c r="IK6" t="e">
        <f>#REF!+"$&gt;\f!8#"</f>
        <v>#REF!</v>
      </c>
      <c r="IL6" t="e">
        <f>#REF!+"$&gt;\f!8$"</f>
        <v>#REF!</v>
      </c>
      <c r="IM6" t="e">
        <f>#REF!+"$&gt;\f!8%"</f>
        <v>#REF!</v>
      </c>
      <c r="IN6" t="e">
        <f>#REF!+"$&gt;\f!8&amp;"</f>
        <v>#REF!</v>
      </c>
      <c r="IO6" t="e">
        <f>#REF!+"$&gt;\f!8'"</f>
        <v>#REF!</v>
      </c>
      <c r="IP6" t="e">
        <f>#REF!+"$&gt;\f!8("</f>
        <v>#REF!</v>
      </c>
      <c r="IQ6" t="e">
        <f>#REF!+"$&gt;\f!8)"</f>
        <v>#REF!</v>
      </c>
      <c r="IR6" t="e">
        <f>#REF!+"$&gt;\f!8."</f>
        <v>#REF!</v>
      </c>
      <c r="IS6" t="e">
        <f>#REF!+"$&gt;\f!8/"</f>
        <v>#REF!</v>
      </c>
      <c r="IT6" t="e">
        <f>#REF!+"$&gt;\f!80"</f>
        <v>#REF!</v>
      </c>
      <c r="IU6" t="e">
        <f>#REF!+"$&gt;\f!81"</f>
        <v>#REF!</v>
      </c>
      <c r="IV6" t="e">
        <f>#REF!+"$&gt;\f!82"</f>
        <v>#REF!</v>
      </c>
    </row>
    <row r="7" spans="1:256" x14ac:dyDescent="0.25">
      <c r="F7" t="e">
        <f>#REF!+"$&gt;\f!83"</f>
        <v>#REF!</v>
      </c>
      <c r="G7" t="e">
        <f>#REF!+"$&gt;\f!84"</f>
        <v>#REF!</v>
      </c>
      <c r="H7" t="e">
        <f>#REF!+"$&gt;\f!85"</f>
        <v>#REF!</v>
      </c>
      <c r="I7" t="e">
        <f>#REF!+"$&gt;\f!86"</f>
        <v>#REF!</v>
      </c>
      <c r="J7" t="e">
        <f>#REF!+"$&gt;\f!87"</f>
        <v>#REF!</v>
      </c>
      <c r="K7" t="e">
        <f>#REF!+"$&gt;\f!88"</f>
        <v>#REF!</v>
      </c>
      <c r="L7" t="e">
        <f>#REF!+"$&gt;\f!89"</f>
        <v>#REF!</v>
      </c>
      <c r="M7" t="e">
        <f>#REF!+"$&gt;\f!8:"</f>
        <v>#REF!</v>
      </c>
      <c r="N7" t="e">
        <f>#REF!+"$&gt;\f!8;"</f>
        <v>#REF!</v>
      </c>
      <c r="O7" t="e">
        <f>#REF!*"$&gt;\f!8&lt;"</f>
        <v>#REF!</v>
      </c>
      <c r="P7" t="e">
        <f>#REF!*"$&gt;\f!8="</f>
        <v>#REF!</v>
      </c>
      <c r="Q7" t="e">
        <f>#REF!*"$&gt;\f!8&gt;"</f>
        <v>#REF!</v>
      </c>
      <c r="R7" t="e">
        <f>#REF!*"$&gt;\f!8?"</f>
        <v>#REF!</v>
      </c>
      <c r="S7" t="e">
        <f>#REF!*"$&gt;\f!8@"</f>
        <v>#REF!</v>
      </c>
      <c r="T7" t="e">
        <f>#REF!*"$&gt;\f!8A"</f>
        <v>#REF!</v>
      </c>
      <c r="U7" t="e">
        <f>#REF!*"$&gt;\f!8B"</f>
        <v>#REF!</v>
      </c>
      <c r="V7" t="e">
        <f>#REF!*"$&gt;\f!8C"</f>
        <v>#REF!</v>
      </c>
      <c r="W7" t="e">
        <f>#REF!*"$&gt;\f!8D"</f>
        <v>#REF!</v>
      </c>
      <c r="X7" t="e">
        <f>#REF!*"$&gt;\f!8E"</f>
        <v>#REF!</v>
      </c>
      <c r="Y7" t="e">
        <f>#REF!*"$&gt;\f!8F"</f>
        <v>#REF!</v>
      </c>
      <c r="Z7" t="e">
        <f>#REF!*"$&gt;\f!8G"</f>
        <v>#REF!</v>
      </c>
      <c r="AA7" t="e">
        <f>#REF!*"$&gt;\f!8H"</f>
        <v>#REF!</v>
      </c>
      <c r="AB7" t="e">
        <f>#REF!*"$&gt;\f!8I"</f>
        <v>#REF!</v>
      </c>
      <c r="AC7" t="e">
        <f>#REF!*"$&gt;\f!8J"</f>
        <v>#REF!</v>
      </c>
      <c r="AD7" t="e">
        <f>#REF!*"$&gt;\f!8K"</f>
        <v>#REF!</v>
      </c>
      <c r="AE7" t="e">
        <f>#REF!*"$&gt;\f!8L"</f>
        <v>#REF!</v>
      </c>
      <c r="AF7" t="e">
        <f>#REF!*"$&gt;\f!8M"</f>
        <v>#REF!</v>
      </c>
      <c r="AG7" t="e">
        <f>#REF!*"$&gt;\f!8N"</f>
        <v>#REF!</v>
      </c>
      <c r="AH7" t="e">
        <f>#REF!*"$&gt;\f!8O"</f>
        <v>#REF!</v>
      </c>
      <c r="AI7" t="e">
        <f>#REF!*"$&gt;\f!8P"</f>
        <v>#REF!</v>
      </c>
      <c r="AJ7" t="e">
        <f>#REF!*"$&gt;\f!8Q"</f>
        <v>#REF!</v>
      </c>
      <c r="AK7" t="e">
        <f>#REF!*"$&gt;\f!8R"</f>
        <v>#REF!</v>
      </c>
      <c r="AL7" t="e">
        <f>#REF!*"$&gt;\f!8S"</f>
        <v>#REF!</v>
      </c>
      <c r="AM7" t="e">
        <f>#REF!*"$&gt;\f!8T"</f>
        <v>#REF!</v>
      </c>
      <c r="AN7" t="e">
        <f>#REF!*"$&gt;\f!8U"</f>
        <v>#REF!</v>
      </c>
      <c r="AO7" t="e">
        <f>#REF!*"$&gt;\f!8V"</f>
        <v>#REF!</v>
      </c>
      <c r="AP7" t="e">
        <f>#REF!*"$&gt;\f!8W"</f>
        <v>#REF!</v>
      </c>
      <c r="AQ7" t="e">
        <f>#REF!*"$&gt;\f!8X"</f>
        <v>#REF!</v>
      </c>
      <c r="AR7" t="e">
        <f>#REF!*"$&gt;\f!8Y"</f>
        <v>#REF!</v>
      </c>
      <c r="AS7" t="e">
        <f>#REF!*"$&gt;\f!8Z"</f>
        <v>#REF!</v>
      </c>
      <c r="AT7" t="e">
        <f>#REF!*"$&gt;\f!8["</f>
        <v>#REF!</v>
      </c>
      <c r="AU7" t="e">
        <f>#REF!*"$&gt;\f!8\"</f>
        <v>#REF!</v>
      </c>
      <c r="AV7" t="e">
        <f>#REF!*"$&gt;\f!8]"</f>
        <v>#REF!</v>
      </c>
      <c r="AW7" t="e">
        <f>#REF!*"$&gt;\f!8^"</f>
        <v>#REF!</v>
      </c>
      <c r="AX7" t="e">
        <f>#REF!*"$&gt;\f!8_"</f>
        <v>#REF!</v>
      </c>
      <c r="AY7" t="e">
        <f>#REF!*"$&gt;\f!8`"</f>
        <v>#REF!</v>
      </c>
      <c r="AZ7" t="e">
        <f>#REF!*"$&gt;\f!8a"</f>
        <v>#REF!</v>
      </c>
      <c r="BA7" t="e">
        <f>#REF!*"$&gt;\f!8b"</f>
        <v>#REF!</v>
      </c>
      <c r="BB7" t="e">
        <f>#REF!*"$&gt;\f!8c"</f>
        <v>#REF!</v>
      </c>
      <c r="BC7" t="e">
        <f>#REF!*"$&gt;\f!8d"</f>
        <v>#REF!</v>
      </c>
      <c r="BD7" t="e">
        <f>#REF!*"$&gt;\f!8e"</f>
        <v>#REF!</v>
      </c>
      <c r="BE7" t="e">
        <f>#REF!*"$&gt;\f!8f"</f>
        <v>#REF!</v>
      </c>
      <c r="BF7" t="e">
        <f>#REF!*"$&gt;\f!8g"</f>
        <v>#REF!</v>
      </c>
      <c r="BG7" t="e">
        <f>#REF!*"$&gt;\f!8h"</f>
        <v>#REF!</v>
      </c>
      <c r="BH7" t="e">
        <f>#REF!*"$&gt;\f!8i"</f>
        <v>#REF!</v>
      </c>
      <c r="BI7" t="e">
        <f>#REF!*"$&gt;\f!8j"</f>
        <v>#REF!</v>
      </c>
      <c r="BJ7" t="e">
        <f>#REF!*"$&gt;\f!8k"</f>
        <v>#REF!</v>
      </c>
      <c r="BK7" t="e">
        <f>#REF!*"$&gt;\f!8l"</f>
        <v>#REF!</v>
      </c>
      <c r="BL7" t="e">
        <f>#REF!*"$&gt;\f!8m"</f>
        <v>#REF!</v>
      </c>
      <c r="BM7" t="e">
        <f>#REF!*"$&gt;\f!8n"</f>
        <v>#REF!</v>
      </c>
      <c r="BN7" t="e">
        <f>#REF!*"$&gt;\f!8o"</f>
        <v>#REF!</v>
      </c>
      <c r="BO7" t="e">
        <f>#REF!*"$&gt;\f!8p"</f>
        <v>#REF!</v>
      </c>
      <c r="BP7" t="e">
        <f>#REF!*"$&gt;\f!8q"</f>
        <v>#REF!</v>
      </c>
      <c r="BQ7" t="e">
        <f>#REF!*"$&gt;\f!8r"</f>
        <v>#REF!</v>
      </c>
      <c r="BR7" t="e">
        <f>#REF!*"$&gt;\f!8s"</f>
        <v>#REF!</v>
      </c>
      <c r="BS7" t="e">
        <f>#REF!*"$&gt;\f!8t"</f>
        <v>#REF!</v>
      </c>
      <c r="BT7" t="e">
        <f>#REF!*"$&gt;\f!8u"</f>
        <v>#REF!</v>
      </c>
      <c r="BU7" t="e">
        <f>#REF!*"$&gt;\f!8v"</f>
        <v>#REF!</v>
      </c>
      <c r="BV7" t="e">
        <f>#REF!*"$&gt;\f!8w"</f>
        <v>#REF!</v>
      </c>
      <c r="BW7" t="e">
        <f>#REF!*"$&gt;\f!8x"</f>
        <v>#REF!</v>
      </c>
      <c r="BX7" t="e">
        <f>#REF!*"$&gt;\f!8y"</f>
        <v>#REF!</v>
      </c>
      <c r="BY7" t="e">
        <f>#REF!*"$&gt;\f!8z"</f>
        <v>#REF!</v>
      </c>
      <c r="BZ7" t="e">
        <f>#REF!*"$&gt;\f!8{"</f>
        <v>#REF!</v>
      </c>
      <c r="CA7" t="e">
        <f>#REF!-"$&gt;\f!8|"</f>
        <v>#REF!</v>
      </c>
      <c r="CB7" t="e">
        <f>#REF!-"$&gt;\f!8}"</f>
        <v>#REF!</v>
      </c>
      <c r="CC7" t="e">
        <f>#REF!-"$&gt;\f!8~"</f>
        <v>#REF!</v>
      </c>
      <c r="CD7" t="e">
        <f>#REF!-"$&gt;\f!9#"</f>
        <v>#REF!</v>
      </c>
      <c r="CE7" t="e">
        <f>#REF!-"$&gt;\f!9$"</f>
        <v>#REF!</v>
      </c>
      <c r="CF7" t="e">
        <f>#REF!-"$&gt;\f!9%"</f>
        <v>#REF!</v>
      </c>
      <c r="CG7" t="e">
        <f>#REF!-"$&gt;\f!9&amp;"</f>
        <v>#REF!</v>
      </c>
      <c r="CH7" t="e">
        <f>#REF!-"$&gt;\f!9'"</f>
        <v>#REF!</v>
      </c>
      <c r="CI7" t="e">
        <f>#REF!-"$&gt;\f!9("</f>
        <v>#REF!</v>
      </c>
      <c r="CJ7" t="e">
        <f>#REF!-"$&gt;\f!9)"</f>
        <v>#REF!</v>
      </c>
      <c r="CK7" t="e">
        <f>#REF!-"$&gt;\f!9."</f>
        <v>#REF!</v>
      </c>
      <c r="CL7" t="e">
        <f>#REF!-"$&gt;\f!9/"</f>
        <v>#REF!</v>
      </c>
      <c r="CM7" t="e">
        <f>#REF!-"$&gt;\f!90"</f>
        <v>#REF!</v>
      </c>
      <c r="CN7" t="e">
        <f>#REF!-"$&gt;\f!91"</f>
        <v>#REF!</v>
      </c>
      <c r="CO7" t="e">
        <f>#REF!-"$&gt;\f!92"</f>
        <v>#REF!</v>
      </c>
      <c r="CP7" t="e">
        <f>#REF!-"$&gt;\f!93"</f>
        <v>#REF!</v>
      </c>
      <c r="CQ7" t="e">
        <f>#REF!-"$&gt;\f!94"</f>
        <v>#REF!</v>
      </c>
      <c r="CR7" t="e">
        <f>#REF!-"$&gt;\f!95"</f>
        <v>#REF!</v>
      </c>
      <c r="CS7" t="e">
        <f>#REF!-"$&gt;\f!96"</f>
        <v>#REF!</v>
      </c>
      <c r="CT7" t="e">
        <f>#REF!-"$&gt;\f!97"</f>
        <v>#REF!</v>
      </c>
      <c r="CU7" t="e">
        <f>#REF!-"$&gt;\f!98"</f>
        <v>#REF!</v>
      </c>
      <c r="CV7" t="e">
        <f>#REF!-"$&gt;\f!99"</f>
        <v>#REF!</v>
      </c>
      <c r="CW7" t="e">
        <f>#REF!-"$&gt;\f!9:"</f>
        <v>#REF!</v>
      </c>
      <c r="CX7" t="e">
        <f>#REF!-"$&gt;\f!9;"</f>
        <v>#REF!</v>
      </c>
      <c r="CY7" t="e">
        <f>#REF!-"$&gt;\f!9&lt;"</f>
        <v>#REF!</v>
      </c>
      <c r="CZ7" t="e">
        <f>#REF!-"$&gt;\f!9="</f>
        <v>#REF!</v>
      </c>
      <c r="DA7" t="e">
        <f>#REF!-"$&gt;\f!9&gt;"</f>
        <v>#REF!</v>
      </c>
      <c r="DB7" t="e">
        <f>#REF!-"$&gt;\f!9?"</f>
        <v>#REF!</v>
      </c>
      <c r="DC7" t="e">
        <f>#REF!-"$&gt;\f!9@"</f>
        <v>#REF!</v>
      </c>
      <c r="DD7" t="e">
        <f>#REF!-"$&gt;\f!9A"</f>
        <v>#REF!</v>
      </c>
      <c r="DE7" t="e">
        <f>#REF!-"$&gt;\f!9B"</f>
        <v>#REF!</v>
      </c>
      <c r="DF7" t="e">
        <f>#REF!-"$&gt;\f!9C"</f>
        <v>#REF!</v>
      </c>
      <c r="DG7" t="e">
        <f>#REF!-"$&gt;\f!9D"</f>
        <v>#REF!</v>
      </c>
      <c r="DH7" t="e">
        <f>#REF!-"$&gt;\f!9E"</f>
        <v>#REF!</v>
      </c>
      <c r="DI7" t="e">
        <f>#REF!-"$&gt;\f!9F"</f>
        <v>#REF!</v>
      </c>
      <c r="DJ7" t="e">
        <f>#REF!-"$&gt;\f!9G"</f>
        <v>#REF!</v>
      </c>
      <c r="DK7" t="e">
        <f>#REF!-"$&gt;\f!9H"</f>
        <v>#REF!</v>
      </c>
      <c r="DL7" t="e">
        <f>#REF!-"$&gt;\f!9I"</f>
        <v>#REF!</v>
      </c>
      <c r="DM7" t="e">
        <f>#REF!-"$&gt;\f!9J"</f>
        <v>#REF!</v>
      </c>
      <c r="DN7" t="e">
        <f>#REF!-"$&gt;\f!9K"</f>
        <v>#REF!</v>
      </c>
      <c r="DO7" t="e">
        <f>#REF!-"$&gt;\f!9L"</f>
        <v>#REF!</v>
      </c>
      <c r="DP7" t="e">
        <f>#REF!-"$&gt;\f!9M"</f>
        <v>#REF!</v>
      </c>
      <c r="DQ7" t="e">
        <f>#REF!-"$&gt;\f!9N"</f>
        <v>#REF!</v>
      </c>
      <c r="DR7" t="e">
        <f>#REF!-"$&gt;\f!9O"</f>
        <v>#REF!</v>
      </c>
      <c r="DS7" t="e">
        <f>#REF!-"$&gt;\f!9P"</f>
        <v>#REF!</v>
      </c>
      <c r="DT7" t="e">
        <f>#REF!-"$&gt;\f!9Q"</f>
        <v>#REF!</v>
      </c>
      <c r="DU7" t="e">
        <f>#REF!-"$&gt;\f!9R"</f>
        <v>#REF!</v>
      </c>
      <c r="DV7" t="e">
        <f>#REF!-"$&gt;\f!9S"</f>
        <v>#REF!</v>
      </c>
      <c r="DW7" t="e">
        <f>#REF!-"$&gt;\f!9T"</f>
        <v>#REF!</v>
      </c>
      <c r="DX7" t="e">
        <f>#REF!-"$&gt;\f!9U"</f>
        <v>#REF!</v>
      </c>
      <c r="DY7" t="e">
        <f>#REF!-"$&gt;\f!9V"</f>
        <v>#REF!</v>
      </c>
      <c r="DZ7" t="e">
        <f>#REF!-"$&gt;\f!9W"</f>
        <v>#REF!</v>
      </c>
      <c r="EA7" t="e">
        <f>#REF!-"$&gt;\f!9X"</f>
        <v>#REF!</v>
      </c>
      <c r="EB7" t="e">
        <f>#REF!-"$&gt;\f!9Y"</f>
        <v>#REF!</v>
      </c>
      <c r="EC7" t="e">
        <f>#REF!-"$&gt;\f!9Z"</f>
        <v>#REF!</v>
      </c>
      <c r="ED7" t="e">
        <f>#REF!-"$&gt;\f!9["</f>
        <v>#REF!</v>
      </c>
      <c r="EE7" t="e">
        <f>#REF!-"$&gt;\f!9\"</f>
        <v>#REF!</v>
      </c>
      <c r="EF7" t="e">
        <f>#REF!-"$&gt;\f!9]"</f>
        <v>#REF!</v>
      </c>
      <c r="EG7" t="e">
        <f>#REF!-"$&gt;\f!9^"</f>
        <v>#REF!</v>
      </c>
      <c r="EH7" t="e">
        <f>#REF!-"$&gt;\f!9_"</f>
        <v>#REF!</v>
      </c>
      <c r="EI7" t="e">
        <f>#REF!-"$&gt;\f!9`"</f>
        <v>#REF!</v>
      </c>
      <c r="EJ7" t="e">
        <f>#REF!-"$&gt;\f!9a"</f>
        <v>#REF!</v>
      </c>
      <c r="EK7" t="e">
        <f>#REF!-"$&gt;\f!9b"</f>
        <v>#REF!</v>
      </c>
      <c r="EL7" t="e">
        <f>#REF!-"$&gt;\f!9c"</f>
        <v>#REF!</v>
      </c>
      <c r="EM7" t="e">
        <f>#REF!-"$&gt;\f!9d"</f>
        <v>#REF!</v>
      </c>
      <c r="EN7" t="e">
        <f>#REF!-"$&gt;\f!9e"</f>
        <v>#REF!</v>
      </c>
      <c r="EO7" t="e">
        <f>#REF!-"$&gt;\f!9f"</f>
        <v>#REF!</v>
      </c>
      <c r="EP7" t="e">
        <f>#REF!-"$&gt;\f!9g"</f>
        <v>#REF!</v>
      </c>
      <c r="EQ7" t="e">
        <f>#REF!-"$&gt;\f!9h"</f>
        <v>#REF!</v>
      </c>
      <c r="ER7" t="e">
        <f>#REF!-"$&gt;\f!9i"</f>
        <v>#REF!</v>
      </c>
      <c r="ES7" t="e">
        <f>#REF!-"$&gt;\f!9j"</f>
        <v>#REF!</v>
      </c>
      <c r="ET7" t="e">
        <f>#REF!-"$&gt;\f!9k"</f>
        <v>#REF!</v>
      </c>
      <c r="EU7" t="e">
        <f>#REF!-"$&gt;\f!9l"</f>
        <v>#REF!</v>
      </c>
      <c r="EV7" t="e">
        <f>#REF!-"$&gt;\f!9m"</f>
        <v>#REF!</v>
      </c>
      <c r="EW7" t="e">
        <f>#REF!-"$&gt;\f!9n"</f>
        <v>#REF!</v>
      </c>
      <c r="EX7" t="e">
        <f>#REF!-"$&gt;\f!9o"</f>
        <v>#REF!</v>
      </c>
      <c r="EY7" t="e">
        <f>#REF!-"$&gt;\f!9p"</f>
        <v>#REF!</v>
      </c>
      <c r="EZ7" t="e">
        <f>#REF!-"$&gt;\f!9q"</f>
        <v>#REF!</v>
      </c>
      <c r="FA7" t="e">
        <f>#REF!-"$&gt;\f!9r"</f>
        <v>#REF!</v>
      </c>
      <c r="FB7" t="e">
        <f>#REF!-"$&gt;\f!9s"</f>
        <v>#REF!</v>
      </c>
      <c r="FC7" t="e">
        <f>#REF!-"$&gt;\f!9t"</f>
        <v>#REF!</v>
      </c>
      <c r="FD7" t="e">
        <f>#REF!-"$&gt;\f!9u"</f>
        <v>#REF!</v>
      </c>
      <c r="FE7" t="e">
        <f>#REF!-"$&gt;\f!9v"</f>
        <v>#REF!</v>
      </c>
      <c r="FF7" t="e">
        <f>#REF!-"$&gt;\f!9w"</f>
        <v>#REF!</v>
      </c>
      <c r="FG7" t="e">
        <f>#REF!-"$&gt;\f!9x"</f>
        <v>#REF!</v>
      </c>
      <c r="FH7" t="e">
        <f>#REF!-"$&gt;\f!9y"</f>
        <v>#REF!</v>
      </c>
      <c r="FI7" t="e">
        <f>#REF!-"$&gt;\f!9z"</f>
        <v>#REF!</v>
      </c>
      <c r="FJ7" t="e">
        <f>#REF!-"$&gt;\f!9{"</f>
        <v>#REF!</v>
      </c>
      <c r="FK7" t="e">
        <f>#REF!-"$&gt;\f!9|"</f>
        <v>#REF!</v>
      </c>
      <c r="FL7" t="e">
        <f>#REF!-"$&gt;\f!9}"</f>
        <v>#REF!</v>
      </c>
      <c r="FM7" t="e">
        <f>#REF!-"$&gt;\f!9~"</f>
        <v>#REF!</v>
      </c>
      <c r="FN7" t="e">
        <f>#REF!-"$&gt;\f!:#"</f>
        <v>#REF!</v>
      </c>
      <c r="FO7" t="e">
        <f>#REF!-"$&gt;\f!:$"</f>
        <v>#REF!</v>
      </c>
      <c r="FP7" t="e">
        <f>#REF!-"$&gt;\f!:%"</f>
        <v>#REF!</v>
      </c>
      <c r="FQ7" t="e">
        <f>#REF!-"$&gt;\f!:&amp;"</f>
        <v>#REF!</v>
      </c>
      <c r="FR7" t="e">
        <f>#REF!-"$&gt;\f!:'"</f>
        <v>#REF!</v>
      </c>
      <c r="FS7" t="e">
        <f>#REF!-"$&gt;\f!:("</f>
        <v>#REF!</v>
      </c>
      <c r="FT7" t="e">
        <f>#REF!-"$&gt;\f!:)"</f>
        <v>#REF!</v>
      </c>
      <c r="FU7" t="e">
        <f>#REF!-"$&gt;\f!:."</f>
        <v>#REF!</v>
      </c>
      <c r="FV7" t="e">
        <f>#REF!-"$&gt;\f!:/"</f>
        <v>#REF!</v>
      </c>
      <c r="FW7" t="e">
        <f>#REF!-"$&gt;\f!:0"</f>
        <v>#REF!</v>
      </c>
      <c r="FX7" t="e">
        <f>#REF!-"$&gt;\f!:1"</f>
        <v>#REF!</v>
      </c>
      <c r="FY7" t="e">
        <f>#REF!-"$&gt;\f!:2"</f>
        <v>#REF!</v>
      </c>
      <c r="FZ7" t="e">
        <f>#REF!-"$&gt;\f!:3"</f>
        <v>#REF!</v>
      </c>
      <c r="GA7" t="e">
        <f>#REF!-"$&gt;\f!:4"</f>
        <v>#REF!</v>
      </c>
      <c r="GB7" t="e">
        <f>#REF!-"$&gt;\f!:5"</f>
        <v>#REF!</v>
      </c>
      <c r="GC7" t="e">
        <f>#REF!-"$&gt;\f!:6"</f>
        <v>#REF!</v>
      </c>
      <c r="GD7" t="e">
        <f>#REF!-"$&gt;\f!:7"</f>
        <v>#REF!</v>
      </c>
      <c r="GE7" t="e">
        <f>#REF!-"$&gt;\f!:8"</f>
        <v>#REF!</v>
      </c>
      <c r="GF7" t="e">
        <f>#REF!-"$&gt;\f!:9"</f>
        <v>#REF!</v>
      </c>
      <c r="GG7" t="e">
        <f>#REF!-"$&gt;\f!::"</f>
        <v>#REF!</v>
      </c>
      <c r="GH7" t="e">
        <f>#REF!-"$&gt;\f!:;"</f>
        <v>#REF!</v>
      </c>
      <c r="GI7" t="e">
        <f>#REF!-"$&gt;\f!:&lt;"</f>
        <v>#REF!</v>
      </c>
      <c r="GJ7" t="e">
        <f>#REF!-"$&gt;\f!:="</f>
        <v>#REF!</v>
      </c>
      <c r="GK7" t="e">
        <f>#REF!-"$&gt;\f!:&gt;"</f>
        <v>#REF!</v>
      </c>
      <c r="GL7" t="e">
        <f>#REF!-"$&gt;\f!:?"</f>
        <v>#REF!</v>
      </c>
      <c r="GM7" t="e">
        <f>#REF!-"$&gt;\f!:@"</f>
        <v>#REF!</v>
      </c>
      <c r="GN7" t="e">
        <f>#REF!-"$&gt;\f!:A"</f>
        <v>#REF!</v>
      </c>
      <c r="GO7" t="e">
        <f>#REF!-"$&gt;\f!:B"</f>
        <v>#REF!</v>
      </c>
      <c r="GP7" t="e">
        <f>#REF!-"$&gt;\f!:C"</f>
        <v>#REF!</v>
      </c>
      <c r="GQ7" t="e">
        <f>#REF!-"$&gt;\f!:D"</f>
        <v>#REF!</v>
      </c>
      <c r="GR7" t="e">
        <f>#REF!-"$&gt;\f!:E"</f>
        <v>#REF!</v>
      </c>
      <c r="GS7" t="e">
        <f>#REF!-"$&gt;\f!:F"</f>
        <v>#REF!</v>
      </c>
      <c r="GT7" t="e">
        <f>#REF!-"$&gt;\f!:G"</f>
        <v>#REF!</v>
      </c>
      <c r="GU7" t="e">
        <f>#REF!-"$&gt;\f!:H"</f>
        <v>#REF!</v>
      </c>
      <c r="GV7" t="e">
        <f>#REF!-"$&gt;\f!:I"</f>
        <v>#REF!</v>
      </c>
      <c r="GW7" t="e">
        <f>#REF!-"$&gt;\f!:J"</f>
        <v>#REF!</v>
      </c>
      <c r="GX7" t="e">
        <f>#REF!-"$&gt;\f!:K"</f>
        <v>#REF!</v>
      </c>
      <c r="GY7" t="e">
        <f>#REF!-"$&gt;\f!:L"</f>
        <v>#REF!</v>
      </c>
      <c r="GZ7" t="e">
        <f>#REF!-"$&gt;\f!:M"</f>
        <v>#REF!</v>
      </c>
      <c r="HA7" t="e">
        <f>#REF!-"$&gt;\f!:N"</f>
        <v>#REF!</v>
      </c>
      <c r="HB7" t="e">
        <f>#REF!-"$&gt;\f!:O"</f>
        <v>#REF!</v>
      </c>
      <c r="HC7" t="e">
        <f>#REF!-"$&gt;\f!:P"</f>
        <v>#REF!</v>
      </c>
      <c r="HD7" t="e">
        <f>#REF!-"$&gt;\f!:Q"</f>
        <v>#REF!</v>
      </c>
      <c r="HE7" t="e">
        <f>#REF!-"$&gt;\f!:R"</f>
        <v>#REF!</v>
      </c>
      <c r="HF7" t="e">
        <f>#REF!-"$&gt;\f!:S"</f>
        <v>#REF!</v>
      </c>
      <c r="HG7" t="e">
        <f>#REF!-"$&gt;\f!:T"</f>
        <v>#REF!</v>
      </c>
      <c r="HH7" t="e">
        <f>#REF!-"$&gt;\f!:U"</f>
        <v>#REF!</v>
      </c>
      <c r="HI7" t="e">
        <f>#REF!-"$&gt;\f!:V"</f>
        <v>#REF!</v>
      </c>
      <c r="HJ7" t="e">
        <f>#REF!-"$&gt;\f!:W"</f>
        <v>#REF!</v>
      </c>
      <c r="HK7" t="e">
        <f>#REF!-"$&gt;\f!:X"</f>
        <v>#REF!</v>
      </c>
      <c r="HL7" t="e">
        <f>#REF!-"$&gt;\f!:Y"</f>
        <v>#REF!</v>
      </c>
      <c r="HM7" t="e">
        <f>#REF!-"$&gt;\f!:Z"</f>
        <v>#REF!</v>
      </c>
      <c r="HN7" t="e">
        <f>#REF!-"$&gt;\f!:["</f>
        <v>#REF!</v>
      </c>
      <c r="HO7" t="e">
        <f>#REF!-"$&gt;\f!:\"</f>
        <v>#REF!</v>
      </c>
      <c r="HP7" t="e">
        <f>#REF!-"$&gt;\f!:]"</f>
        <v>#REF!</v>
      </c>
      <c r="HQ7" t="e">
        <f>#REF!-"$&gt;\f!:^"</f>
        <v>#REF!</v>
      </c>
      <c r="HR7" t="e">
        <f>#REF!-"$&gt;\f!:_"</f>
        <v>#REF!</v>
      </c>
      <c r="HS7" t="e">
        <f>#REF!-"$&gt;\f!:`"</f>
        <v>#REF!</v>
      </c>
      <c r="HT7" t="e">
        <f>#REF!-"$&gt;\f!:a"</f>
        <v>#REF!</v>
      </c>
      <c r="HU7" t="e">
        <f>#REF!-"$&gt;\f!:b"</f>
        <v>#REF!</v>
      </c>
      <c r="HV7" t="e">
        <f>#REF!-"$&gt;\f!:c"</f>
        <v>#REF!</v>
      </c>
      <c r="HW7" t="e">
        <f>#REF!-"$&gt;\f!:d"</f>
        <v>#REF!</v>
      </c>
      <c r="HX7" t="e">
        <f>#REF!-"$&gt;\f!:e"</f>
        <v>#REF!</v>
      </c>
      <c r="HY7" t="e">
        <f>#REF!-"$&gt;\f!:f"</f>
        <v>#REF!</v>
      </c>
      <c r="HZ7" t="e">
        <f>#REF!-"$&gt;\f!:g"</f>
        <v>#REF!</v>
      </c>
      <c r="IA7" t="e">
        <f>#REF!-"$&gt;\f!:h"</f>
        <v>#REF!</v>
      </c>
      <c r="IB7" t="e">
        <f>#REF!-"$&gt;\f!:i"</f>
        <v>#REF!</v>
      </c>
      <c r="IC7" t="e">
        <f>#REF!-"$&gt;\f!:j"</f>
        <v>#REF!</v>
      </c>
      <c r="ID7" t="e">
        <f>#REF!-"$&gt;\f!:k"</f>
        <v>#REF!</v>
      </c>
      <c r="IE7" t="e">
        <f>#REF!-"$&gt;\f!:l"</f>
        <v>#REF!</v>
      </c>
      <c r="IF7" t="e">
        <f>#REF!-"$&gt;\f!:m"</f>
        <v>#REF!</v>
      </c>
      <c r="IG7" t="e">
        <f>#REF!-"$&gt;\f!:n"</f>
        <v>#REF!</v>
      </c>
      <c r="IH7" t="e">
        <f>#REF!-"$&gt;\f!:o"</f>
        <v>#REF!</v>
      </c>
      <c r="II7" t="e">
        <f>#REF!-"$&gt;\f!:p"</f>
        <v>#REF!</v>
      </c>
      <c r="IJ7" t="e">
        <f>#REF!-"$&gt;\f!:q"</f>
        <v>#REF!</v>
      </c>
      <c r="IK7" t="e">
        <f>#REF!-"$&gt;\f!:r"</f>
        <v>#REF!</v>
      </c>
      <c r="IL7" t="e">
        <f>#REF!-"$&gt;\f!:s"</f>
        <v>#REF!</v>
      </c>
      <c r="IM7" t="e">
        <f>#REF!-"$&gt;\f!:t"</f>
        <v>#REF!</v>
      </c>
      <c r="IN7" t="e">
        <f>#REF!-"$&gt;\f!:u"</f>
        <v>#REF!</v>
      </c>
      <c r="IO7" t="e">
        <f>#REF!-"$&gt;\f!:v"</f>
        <v>#REF!</v>
      </c>
      <c r="IP7" t="e">
        <f>#REF!-"$&gt;\f!:w"</f>
        <v>#REF!</v>
      </c>
      <c r="IQ7" t="e">
        <f>#REF!-"$&gt;\f!:x"</f>
        <v>#REF!</v>
      </c>
      <c r="IR7" t="e">
        <f>#REF!-"$&gt;\f!:y"</f>
        <v>#REF!</v>
      </c>
      <c r="IS7" t="e">
        <f>#REF!-"$&gt;\f!:z"</f>
        <v>#REF!</v>
      </c>
      <c r="IT7" t="e">
        <f>#REF!-"$&gt;\f!:{"</f>
        <v>#REF!</v>
      </c>
      <c r="IU7" t="e">
        <f>#REF!-"$&gt;\f!:|"</f>
        <v>#REF!</v>
      </c>
      <c r="IV7" t="e">
        <f>#REF!-"$&gt;\f!:}"</f>
        <v>#REF!</v>
      </c>
    </row>
    <row r="8" spans="1:256" x14ac:dyDescent="0.25">
      <c r="F8" t="e">
        <f>#REF!-"$&gt;\f!:~"</f>
        <v>#REF!</v>
      </c>
      <c r="G8" t="e">
        <f>#REF!-"$&gt;\f!;#"</f>
        <v>#REF!</v>
      </c>
      <c r="H8" t="e">
        <f>#REF!-"$&gt;\f!;$"</f>
        <v>#REF!</v>
      </c>
      <c r="I8" t="e">
        <f>#REF!-"$&gt;\f!;%"</f>
        <v>#REF!</v>
      </c>
      <c r="J8" t="e">
        <f>#REF!-"$&gt;\f!;&amp;"</f>
        <v>#REF!</v>
      </c>
      <c r="K8" t="e">
        <f>#REF!-"$&gt;\f!;'"</f>
        <v>#REF!</v>
      </c>
      <c r="L8" t="e">
        <f>#REF!-"$&gt;\f!;("</f>
        <v>#REF!</v>
      </c>
      <c r="M8" t="e">
        <f>#REF!-"$&gt;\f!;)"</f>
        <v>#REF!</v>
      </c>
      <c r="N8" t="e">
        <f>#REF!-"$&gt;\f!;."</f>
        <v>#REF!</v>
      </c>
      <c r="O8" t="e">
        <f>#REF!-"$&gt;\f!;/"</f>
        <v>#REF!</v>
      </c>
      <c r="P8" t="e">
        <f>#REF!-"$&gt;\f!;0"</f>
        <v>#REF!</v>
      </c>
      <c r="Q8" t="e">
        <f>#REF!-"$&gt;\f!;1"</f>
        <v>#REF!</v>
      </c>
      <c r="R8" t="e">
        <f>#REF!-"$&gt;\f!;2"</f>
        <v>#REF!</v>
      </c>
      <c r="S8" t="e">
        <f>#REF!-"$&gt;\f!;3"</f>
        <v>#REF!</v>
      </c>
      <c r="T8" t="e">
        <f>#REF!-"$&gt;\f!;4"</f>
        <v>#REF!</v>
      </c>
      <c r="U8" t="e">
        <f>#REF!-"$&gt;\f!;5"</f>
        <v>#REF!</v>
      </c>
      <c r="V8" t="e">
        <f>#REF!-"$&gt;\f!;6"</f>
        <v>#REF!</v>
      </c>
      <c r="W8" t="e">
        <f>#REF!-"$&gt;\f!;7"</f>
        <v>#REF!</v>
      </c>
      <c r="X8" t="e">
        <f>#REF!-"$&gt;\f!;8"</f>
        <v>#REF!</v>
      </c>
      <c r="Y8" t="e">
        <f>#REF!-"$&gt;\f!;9"</f>
        <v>#REF!</v>
      </c>
      <c r="Z8" t="e">
        <f>#REF!-"$&gt;\f!;:"</f>
        <v>#REF!</v>
      </c>
      <c r="AA8" t="e">
        <f>#REF!-"$&gt;\f!;;"</f>
        <v>#REF!</v>
      </c>
      <c r="AB8" t="e">
        <f>#REF!-"$&gt;\f!;&lt;"</f>
        <v>#REF!</v>
      </c>
      <c r="AC8" t="e">
        <f>#REF!-"$&gt;\f!;="</f>
        <v>#REF!</v>
      </c>
      <c r="AD8" t="e">
        <f>#REF!-"$&gt;\f!;&gt;"</f>
        <v>#REF!</v>
      </c>
      <c r="AE8" t="e">
        <f>#REF!-"$&gt;\f!;?"</f>
        <v>#REF!</v>
      </c>
      <c r="AF8" t="e">
        <f>#REF!-"$&gt;\f!;@"</f>
        <v>#REF!</v>
      </c>
      <c r="AG8" t="e">
        <f>#REF!-"$&gt;\f!;A"</f>
        <v>#REF!</v>
      </c>
      <c r="AH8" t="e">
        <f>#REF!-"$&gt;\f!;B"</f>
        <v>#REF!</v>
      </c>
      <c r="AI8" t="e">
        <f>#REF!-"$&gt;\f!;C"</f>
        <v>#REF!</v>
      </c>
      <c r="AJ8" t="e">
        <f>#REF!-"$&gt;\f!;D"</f>
        <v>#REF!</v>
      </c>
      <c r="AK8" t="e">
        <f>#REF!-"$&gt;\f!;E"</f>
        <v>#REF!</v>
      </c>
      <c r="AL8" t="e">
        <f>#REF!-"$&gt;\f!;F"</f>
        <v>#REF!</v>
      </c>
      <c r="AM8" t="e">
        <f>#REF!-"$&gt;\f!;G"</f>
        <v>#REF!</v>
      </c>
      <c r="AN8" t="e">
        <f>#REF!-"$&gt;\f!;H"</f>
        <v>#REF!</v>
      </c>
      <c r="AO8" t="e">
        <f>#REF!-"$&gt;\f!;I"</f>
        <v>#REF!</v>
      </c>
      <c r="AP8" t="e">
        <f>#REF!-"$&gt;\f!;J"</f>
        <v>#REF!</v>
      </c>
      <c r="AQ8" t="e">
        <f>#REF!-"$&gt;\f!;K"</f>
        <v>#REF!</v>
      </c>
      <c r="AR8" t="e">
        <f>#REF!-"$&gt;\f!;L"</f>
        <v>#REF!</v>
      </c>
      <c r="AS8" t="e">
        <f>#REF!+"$&gt;\f!;M"</f>
        <v>#REF!</v>
      </c>
      <c r="AT8" t="e">
        <f>#REF!+"$&gt;\f!;N"</f>
        <v>#REF!</v>
      </c>
      <c r="AU8" t="e">
        <f>#REF!+"$&gt;\f!;O"</f>
        <v>#REF!</v>
      </c>
      <c r="AV8" t="e">
        <f>#REF!+"$&gt;\f!;P"</f>
        <v>#REF!</v>
      </c>
      <c r="AW8" t="e">
        <f>#REF!+"$&gt;\f!;Q"</f>
        <v>#REF!</v>
      </c>
      <c r="AX8" t="e">
        <f>#REF!+"$&gt;\f!;R"</f>
        <v>#REF!</v>
      </c>
      <c r="AY8" t="e">
        <f>#REF!+"$&gt;\f!;S"</f>
        <v>#REF!</v>
      </c>
      <c r="AZ8" t="e">
        <f>#REF!+"$&gt;\f!;T"</f>
        <v>#REF!</v>
      </c>
      <c r="BA8" t="e">
        <f>#REF!+"$&gt;\f!;U"</f>
        <v>#REF!</v>
      </c>
      <c r="BB8" t="e">
        <f>#REF!+"$&gt;\f!;V"</f>
        <v>#REF!</v>
      </c>
      <c r="BC8" t="e">
        <f>#REF!+"$&gt;\f!;W"</f>
        <v>#REF!</v>
      </c>
      <c r="BD8" t="e">
        <f>#REF!+"$&gt;\f!;X"</f>
        <v>#REF!</v>
      </c>
      <c r="BE8" t="e">
        <f>#REF!+"$&gt;\f!;Y"</f>
        <v>#REF!</v>
      </c>
      <c r="BF8" t="e">
        <f>#REF!+"$&gt;\f!;Z"</f>
        <v>#REF!</v>
      </c>
      <c r="BG8" t="e">
        <f>#REF!+"$&gt;\f!;["</f>
        <v>#REF!</v>
      </c>
      <c r="BH8" t="e">
        <f>#REF!+"$&gt;\f!;\"</f>
        <v>#REF!</v>
      </c>
      <c r="BI8" t="e">
        <f>#REF!+"$&gt;\f!;]"</f>
        <v>#REF!</v>
      </c>
      <c r="BJ8" t="e">
        <f>#REF!+"$&gt;\f!;^"</f>
        <v>#REF!</v>
      </c>
      <c r="BK8" t="e">
        <f>#REF!+"$&gt;\f!;_"</f>
        <v>#REF!</v>
      </c>
      <c r="BL8" t="e">
        <f>#REF!+"$&gt;\f!;`"</f>
        <v>#REF!</v>
      </c>
      <c r="BM8" t="e">
        <f>#REF!+"$&gt;\f!;a"</f>
        <v>#REF!</v>
      </c>
      <c r="BN8" t="e">
        <f>#REF!+"$&gt;\f!;b"</f>
        <v>#REF!</v>
      </c>
      <c r="BO8" t="e">
        <f>#REF!+"$&gt;\f!;c"</f>
        <v>#REF!</v>
      </c>
      <c r="BP8" t="e">
        <f>#REF!+"$&gt;\f!;d"</f>
        <v>#REF!</v>
      </c>
      <c r="BQ8" t="e">
        <f>#REF!+"$&gt;\f!;e"</f>
        <v>#REF!</v>
      </c>
      <c r="BR8" t="e">
        <f>#REF!+"$&gt;\f!;f"</f>
        <v>#REF!</v>
      </c>
      <c r="BS8" t="e">
        <f>#REF!+"$&gt;\f!;g"</f>
        <v>#REF!</v>
      </c>
      <c r="BT8" t="e">
        <f>#REF!+"$&gt;\f!;h"</f>
        <v>#REF!</v>
      </c>
      <c r="BU8" t="e">
        <f>#REF!+"$&gt;\f!;i"</f>
        <v>#REF!</v>
      </c>
      <c r="BV8" t="e">
        <f>#REF!+"$&gt;\f!;j"</f>
        <v>#REF!</v>
      </c>
      <c r="BW8" t="e">
        <f>#REF!+"$&gt;\f!;k"</f>
        <v>#REF!</v>
      </c>
      <c r="BX8" t="e">
        <f>#REF!+"$&gt;\f!;l"</f>
        <v>#REF!</v>
      </c>
      <c r="BY8" t="e">
        <f>#REF!+"$&gt;\f!;m"</f>
        <v>#REF!</v>
      </c>
      <c r="BZ8" t="e">
        <f>#REF!+"$&gt;\f!;n"</f>
        <v>#REF!</v>
      </c>
      <c r="CA8" t="e">
        <f>#REF!+"$&gt;\f!;o"</f>
        <v>#REF!</v>
      </c>
      <c r="CB8" t="e">
        <f>#REF!+"$&gt;\f!;p"</f>
        <v>#REF!</v>
      </c>
      <c r="CC8" t="e">
        <f>#REF!+"$&gt;\f!;q"</f>
        <v>#REF!</v>
      </c>
      <c r="CD8" t="e">
        <f>#REF!+"$&gt;\f!;r"</f>
        <v>#REF!</v>
      </c>
      <c r="CE8" t="e">
        <f>#REF!+"$&gt;\f!;s"</f>
        <v>#REF!</v>
      </c>
      <c r="CF8" t="e">
        <f>#REF!+"$&gt;\f!;t"</f>
        <v>#REF!</v>
      </c>
      <c r="CG8" t="e">
        <f>#REF!+"$&gt;\f!;u"</f>
        <v>#REF!</v>
      </c>
      <c r="CH8" t="e">
        <f>#REF!+"$&gt;\f!;v"</f>
        <v>#REF!</v>
      </c>
      <c r="CI8" t="e">
        <f>#REF!+"$&gt;\f!;w"</f>
        <v>#REF!</v>
      </c>
      <c r="CJ8" t="e">
        <f>#REF!+"$&gt;\f!;x"</f>
        <v>#REF!</v>
      </c>
      <c r="CK8" t="e">
        <f>#REF!+"$&gt;\f!;y"</f>
        <v>#REF!</v>
      </c>
      <c r="CL8" t="e">
        <f>#REF!+"$&gt;\f!;z"</f>
        <v>#REF!</v>
      </c>
      <c r="CM8" t="e">
        <f>#REF!+"$&gt;\f!;{"</f>
        <v>#REF!</v>
      </c>
      <c r="CN8" t="e">
        <f>#REF!+"$&gt;\f!;|"</f>
        <v>#REF!</v>
      </c>
      <c r="CO8" t="e">
        <f>#REF!+"$&gt;\f!;}"</f>
        <v>#REF!</v>
      </c>
      <c r="CP8" t="e">
        <f>#REF!+"$&gt;\f!;~"</f>
        <v>#REF!</v>
      </c>
      <c r="CQ8" t="e">
        <f>#REF!+"$&gt;\f!&lt;#"</f>
        <v>#REF!</v>
      </c>
      <c r="CR8" t="e">
        <f>#REF!+"$&gt;\f!&lt;$"</f>
        <v>#REF!</v>
      </c>
      <c r="CS8" t="e">
        <f>#REF!+"$&gt;\f!&lt;%"</f>
        <v>#REF!</v>
      </c>
      <c r="CT8" t="e">
        <f>#REF!+"$&gt;\f!&lt;&amp;"</f>
        <v>#REF!</v>
      </c>
      <c r="CU8" t="e">
        <f>#REF!+"$&gt;\f!&lt;'"</f>
        <v>#REF!</v>
      </c>
      <c r="CV8" t="e">
        <f>#REF!+"$&gt;\f!&lt;("</f>
        <v>#REF!</v>
      </c>
      <c r="CW8" t="e">
        <f>#REF!+"$&gt;\f!&lt;)"</f>
        <v>#REF!</v>
      </c>
      <c r="CX8" t="e">
        <f>#REF!+"$&gt;\f!&lt;."</f>
        <v>#REF!</v>
      </c>
      <c r="CY8" t="e">
        <f>#REF!+"$&gt;\f!&lt;/"</f>
        <v>#REF!</v>
      </c>
      <c r="CZ8" t="e">
        <f>#REF!+"$&gt;\f!&lt;0"</f>
        <v>#REF!</v>
      </c>
      <c r="DA8" t="e">
        <f>#REF!+"$&gt;\f!&lt;1"</f>
        <v>#REF!</v>
      </c>
      <c r="DB8" t="e">
        <f>#REF!+"$&gt;\f!&lt;2"</f>
        <v>#REF!</v>
      </c>
      <c r="DC8" t="e">
        <f>#REF!+"$&gt;\f!&lt;3"</f>
        <v>#REF!</v>
      </c>
      <c r="DD8" t="e">
        <f>#REF!+"$&gt;\f!&lt;4"</f>
        <v>#REF!</v>
      </c>
      <c r="DE8" t="e">
        <f>#REF!+"$&gt;\f!&lt;5"</f>
        <v>#REF!</v>
      </c>
      <c r="DF8" t="e">
        <f>#REF!+"$&gt;\f!&lt;6"</f>
        <v>#REF!</v>
      </c>
      <c r="DG8" t="e">
        <f>#REF!+"$&gt;\f!&lt;7"</f>
        <v>#REF!</v>
      </c>
      <c r="DH8" t="e">
        <f>#REF!+"$&gt;\f!&lt;8"</f>
        <v>#REF!</v>
      </c>
      <c r="DI8" t="e">
        <f>#REF!+"$&gt;\f!&lt;9"</f>
        <v>#REF!</v>
      </c>
      <c r="DJ8" t="e">
        <f>#REF!+"$&gt;\f!&lt;:"</f>
        <v>#REF!</v>
      </c>
      <c r="DK8" t="e">
        <f>#REF!+"$&gt;\f!&lt;;"</f>
        <v>#REF!</v>
      </c>
      <c r="DL8" t="e">
        <f>#REF!+"$&gt;\f!&lt;&lt;"</f>
        <v>#REF!</v>
      </c>
      <c r="DM8" t="e">
        <f>#REF!+"$&gt;\f!&lt;="</f>
        <v>#REF!</v>
      </c>
      <c r="DN8" t="e">
        <f>#REF!+"$&gt;\f!&lt;&gt;"</f>
        <v>#REF!</v>
      </c>
      <c r="DO8" t="e">
        <f>#REF!+"$&gt;\f!&lt;?"</f>
        <v>#REF!</v>
      </c>
      <c r="DP8" t="e">
        <f>#REF!+"$&gt;\f!&lt;@"</f>
        <v>#REF!</v>
      </c>
      <c r="DQ8" t="e">
        <f>#REF!+"$&gt;\f!&lt;A"</f>
        <v>#REF!</v>
      </c>
      <c r="DR8" t="e">
        <f>#REF!+"$&gt;\f!&lt;B"</f>
        <v>#REF!</v>
      </c>
      <c r="DS8" t="e">
        <f>#REF!+"$&gt;\f!&lt;C"</f>
        <v>#REF!</v>
      </c>
      <c r="DT8" t="e">
        <f>#REF!+"$&gt;\f!&lt;D"</f>
        <v>#REF!</v>
      </c>
      <c r="DU8" t="e">
        <f>#REF!+"$&gt;\f!&lt;E"</f>
        <v>#REF!</v>
      </c>
      <c r="DV8" t="e">
        <f>#REF!+"$&gt;\f!&lt;F"</f>
        <v>#REF!</v>
      </c>
      <c r="DW8" t="e">
        <f>#REF!+"$&gt;\f!&lt;G"</f>
        <v>#REF!</v>
      </c>
      <c r="DX8" t="e">
        <f>#REF!+"$&gt;\f!&lt;H"</f>
        <v>#REF!</v>
      </c>
      <c r="DY8" t="e">
        <f>#REF!+"$&gt;\f!&lt;I"</f>
        <v>#REF!</v>
      </c>
      <c r="DZ8" t="e">
        <f>#REF!+"$&gt;\f!&lt;J"</f>
        <v>#REF!</v>
      </c>
      <c r="EA8" t="e">
        <f>#REF!+"$&gt;\f!&lt;K"</f>
        <v>#REF!</v>
      </c>
      <c r="EB8" t="e">
        <f>#REF!+"$&gt;\f!&lt;L"</f>
        <v>#REF!</v>
      </c>
      <c r="EC8" t="e">
        <f>#REF!+"$&gt;\f!&lt;M"</f>
        <v>#REF!</v>
      </c>
      <c r="ED8" t="e">
        <f>#REF!+"$&gt;\f!&lt;N"</f>
        <v>#REF!</v>
      </c>
      <c r="EE8" t="e">
        <f>#REF!+"$&gt;\f!&lt;O"</f>
        <v>#REF!</v>
      </c>
      <c r="EF8" t="e">
        <f>#REF!+"$&gt;\f!&lt;P"</f>
        <v>#REF!</v>
      </c>
      <c r="EG8" t="e">
        <f>#REF!+"$&gt;\f!&lt;Q"</f>
        <v>#REF!</v>
      </c>
      <c r="EH8" t="e">
        <f>#REF!+"$&gt;\f!&lt;R"</f>
        <v>#REF!</v>
      </c>
      <c r="EI8" t="e">
        <f>#REF!+"$&gt;\f!&lt;S"</f>
        <v>#REF!</v>
      </c>
      <c r="EJ8" t="e">
        <f>#REF!+"$&gt;\f!&lt;T"</f>
        <v>#REF!</v>
      </c>
      <c r="EK8" t="e">
        <f>#REF!+"$&gt;\f!&lt;U"</f>
        <v>#REF!</v>
      </c>
      <c r="EL8" t="e">
        <f>#REF!+"$&gt;\f!&lt;V"</f>
        <v>#REF!</v>
      </c>
      <c r="EM8" t="e">
        <f>#REF!+"$&gt;\f!&lt;W"</f>
        <v>#REF!</v>
      </c>
      <c r="EN8" t="e">
        <f>#REF!+"$&gt;\f!&lt;X"</f>
        <v>#REF!</v>
      </c>
      <c r="EO8" t="e">
        <f>#REF!+"$&gt;\f!&lt;Y"</f>
        <v>#REF!</v>
      </c>
      <c r="EP8" t="e">
        <f>#REF!+"$&gt;\f!&lt;Z"</f>
        <v>#REF!</v>
      </c>
      <c r="EQ8" t="e">
        <f>#REF!+"$&gt;\f!&lt;["</f>
        <v>#REF!</v>
      </c>
      <c r="ER8" t="e">
        <f>#REF!+"$&gt;\f!&lt;\"</f>
        <v>#REF!</v>
      </c>
      <c r="ES8" t="e">
        <f>#REF!+"$&gt;\f!&lt;]"</f>
        <v>#REF!</v>
      </c>
      <c r="ET8" t="e">
        <f>#REF!+"$&gt;\f!&lt;^"</f>
        <v>#REF!</v>
      </c>
      <c r="EU8" t="e">
        <f>#REF!+"$&gt;\f!&lt;_"</f>
        <v>#REF!</v>
      </c>
      <c r="EV8" t="e">
        <f>#REF!+"$&gt;\f!&lt;`"</f>
        <v>#REF!</v>
      </c>
      <c r="EW8" t="e">
        <f>#REF!+"$&gt;\f!&lt;a"</f>
        <v>#REF!</v>
      </c>
      <c r="EX8" t="e">
        <f>#REF!+"$&gt;\f!&lt;b"</f>
        <v>#REF!</v>
      </c>
      <c r="EY8" t="e">
        <f>#REF!+"$&gt;\f!&lt;c"</f>
        <v>#REF!</v>
      </c>
      <c r="EZ8" t="e">
        <f>#REF!+"$&gt;\f!&lt;d"</f>
        <v>#REF!</v>
      </c>
      <c r="FA8" t="e">
        <f>#REF!+"$&gt;\f!&lt;e"</f>
        <v>#REF!</v>
      </c>
      <c r="FB8" t="e">
        <f>#REF!+"$&gt;\f!&lt;f"</f>
        <v>#REF!</v>
      </c>
      <c r="FC8" t="e">
        <f>#REF!+"$&gt;\f!&lt;g"</f>
        <v>#REF!</v>
      </c>
      <c r="FD8" t="e">
        <f>#REF!+"$&gt;\f!&lt;h"</f>
        <v>#REF!</v>
      </c>
      <c r="FE8" t="e">
        <f>#REF!+"$&gt;\f!&lt;i"</f>
        <v>#REF!</v>
      </c>
      <c r="FF8" t="e">
        <f>#REF!+"$&gt;\f!&lt;j"</f>
        <v>#REF!</v>
      </c>
      <c r="FG8" t="e">
        <f>#REF!+"$&gt;\f!&lt;k"</f>
        <v>#REF!</v>
      </c>
      <c r="FH8" t="e">
        <f>#REF!+"$&gt;\f!&lt;l"</f>
        <v>#REF!</v>
      </c>
      <c r="FI8" t="e">
        <f>#REF!+"$&gt;\f!&lt;m"</f>
        <v>#REF!</v>
      </c>
      <c r="FJ8" t="e">
        <f>#REF!+"$&gt;\f!&lt;n"</f>
        <v>#REF!</v>
      </c>
      <c r="FK8" t="e">
        <f>#REF!+"$&gt;\f!&lt;o"</f>
        <v>#REF!</v>
      </c>
      <c r="FL8" t="e">
        <f>#REF!+"$&gt;\f!&lt;p"</f>
        <v>#REF!</v>
      </c>
      <c r="FM8" t="e">
        <f>#REF!+"$&gt;\f!&lt;q"</f>
        <v>#REF!</v>
      </c>
      <c r="FN8" t="e">
        <f>#REF!+"$&gt;\f!&lt;r"</f>
        <v>#REF!</v>
      </c>
      <c r="FO8" t="e">
        <f>#REF!+"$&gt;\f!&lt;s"</f>
        <v>#REF!</v>
      </c>
      <c r="FP8" t="e">
        <f>#REF!+"$&gt;\f!&lt;t"</f>
        <v>#REF!</v>
      </c>
      <c r="FQ8" t="e">
        <f>#REF!+"$&gt;\f!&lt;u"</f>
        <v>#REF!</v>
      </c>
      <c r="FR8" t="e">
        <f>#REF!+"$&gt;\f!&lt;v"</f>
        <v>#REF!</v>
      </c>
      <c r="FS8" t="e">
        <f>#REF!+"$&gt;\f!&lt;w"</f>
        <v>#REF!</v>
      </c>
      <c r="FT8" t="e">
        <f>#REF!+"$&gt;\f!&lt;x"</f>
        <v>#REF!</v>
      </c>
      <c r="FU8" t="e">
        <f>#REF!+"$&gt;\f!&lt;y"</f>
        <v>#REF!</v>
      </c>
      <c r="FV8" t="e">
        <f>#REF!+"$&gt;\f!&lt;z"</f>
        <v>#REF!</v>
      </c>
      <c r="FW8" t="e">
        <f>#REF!+"$&gt;\f!&lt;{"</f>
        <v>#REF!</v>
      </c>
      <c r="FX8" t="e">
        <f>#REF!+"$&gt;\f!&lt;|"</f>
        <v>#REF!</v>
      </c>
      <c r="FY8" t="e">
        <f>#REF!+"$&gt;\f!&lt;}"</f>
        <v>#REF!</v>
      </c>
      <c r="FZ8" t="e">
        <f>#REF!+"$&gt;\f!&lt;~"</f>
        <v>#REF!</v>
      </c>
      <c r="GA8" t="e">
        <f>#REF!+"$&gt;\f!=#"</f>
        <v>#REF!</v>
      </c>
      <c r="GB8" t="e">
        <f>#REF!+"$&gt;\f!=$"</f>
        <v>#REF!</v>
      </c>
      <c r="GC8" t="e">
        <f>#REF!+"$&gt;\f!=%"</f>
        <v>#REF!</v>
      </c>
      <c r="GD8" t="e">
        <f>#REF!+"$&gt;\f!=&amp;"</f>
        <v>#REF!</v>
      </c>
      <c r="GE8" t="e">
        <f>#REF!+"$&gt;\f!='"</f>
        <v>#REF!</v>
      </c>
      <c r="GF8" t="e">
        <f>#REF!+"$&gt;\f!=("</f>
        <v>#REF!</v>
      </c>
      <c r="GG8" t="e">
        <f>#REF!+"$&gt;\f!=)"</f>
        <v>#REF!</v>
      </c>
      <c r="GH8" t="e">
        <f>#REF!+"$&gt;\f!=."</f>
        <v>#REF!</v>
      </c>
      <c r="GI8" t="e">
        <f>#REF!+"$&gt;\f!=/"</f>
        <v>#REF!</v>
      </c>
      <c r="GJ8" t="e">
        <f>#REF!+"$&gt;\f!=0"</f>
        <v>#REF!</v>
      </c>
      <c r="GK8" t="e">
        <f>#REF!+"$&gt;\f!=1"</f>
        <v>#REF!</v>
      </c>
      <c r="GL8" t="e">
        <f>#REF!+"$&gt;\f!=2"</f>
        <v>#REF!</v>
      </c>
      <c r="GM8" t="e">
        <f>#REF!+"$&gt;\f!=3"</f>
        <v>#REF!</v>
      </c>
      <c r="GN8" t="e">
        <f>#REF!+"$&gt;\f!=4"</f>
        <v>#REF!</v>
      </c>
      <c r="GO8" t="e">
        <f>#REF!+"$&gt;\f!=5"</f>
        <v>#REF!</v>
      </c>
      <c r="GP8" t="e">
        <f>#REF!+"$&gt;\f!=6"</f>
        <v>#REF!</v>
      </c>
      <c r="GQ8" t="e">
        <f>#REF!+"$&gt;\f!=7"</f>
        <v>#REF!</v>
      </c>
      <c r="GR8" t="e">
        <f>#REF!+"$&gt;\f!=8"</f>
        <v>#REF!</v>
      </c>
      <c r="GS8" t="e">
        <f>#REF!+"$&gt;\f!=9"</f>
        <v>#REF!</v>
      </c>
      <c r="GT8" t="e">
        <f>#REF!+"$&gt;\f!=:"</f>
        <v>#REF!</v>
      </c>
      <c r="GU8" t="e">
        <f>#REF!+"$&gt;\f!=;"</f>
        <v>#REF!</v>
      </c>
      <c r="GV8" t="e">
        <f>#REF!+"$&gt;\f!=&lt;"</f>
        <v>#REF!</v>
      </c>
      <c r="GW8" t="e">
        <f>#REF!+"$&gt;\f!=="</f>
        <v>#REF!</v>
      </c>
      <c r="GX8" t="e">
        <f>#REF!+"$&gt;\f!=&gt;"</f>
        <v>#REF!</v>
      </c>
      <c r="GY8" t="e">
        <f>#REF!+"$&gt;\f!=?"</f>
        <v>#REF!</v>
      </c>
      <c r="GZ8" t="e">
        <f>#REF!+"$&gt;\f!=@"</f>
        <v>#REF!</v>
      </c>
      <c r="HA8" t="e">
        <f>#REF!+"$&gt;\f!=A"</f>
        <v>#REF!</v>
      </c>
      <c r="HB8" t="e">
        <f>#REF!+"$&gt;\f!=B"</f>
        <v>#REF!</v>
      </c>
      <c r="HC8" t="e">
        <f>#REF!+"$&gt;\f!=C"</f>
        <v>#REF!</v>
      </c>
      <c r="HD8" t="e">
        <f>#REF!+"$&gt;\f!=D"</f>
        <v>#REF!</v>
      </c>
      <c r="HE8" t="e">
        <f>#REF!+"$&gt;\f!=E"</f>
        <v>#REF!</v>
      </c>
      <c r="HF8" t="e">
        <f>#REF!+"$&gt;\f!=F"</f>
        <v>#REF!</v>
      </c>
      <c r="HG8" t="e">
        <f>#REF!+"$&gt;\f!=G"</f>
        <v>#REF!</v>
      </c>
      <c r="HH8" t="e">
        <f>#REF!+"$&gt;\f!=H"</f>
        <v>#REF!</v>
      </c>
      <c r="HI8" t="e">
        <f>#REF!+"$&gt;\f!=I"</f>
        <v>#REF!</v>
      </c>
      <c r="HJ8" t="e">
        <f>#REF!+"$&gt;\f!=J"</f>
        <v>#REF!</v>
      </c>
      <c r="HK8" t="e">
        <f>#REF!+"$&gt;\f!=K"</f>
        <v>#REF!</v>
      </c>
      <c r="HL8" t="e">
        <f>#REF!+"$&gt;\f!=L"</f>
        <v>#REF!</v>
      </c>
      <c r="HM8" t="e">
        <f>#REF!+"$&gt;\f!=M"</f>
        <v>#REF!</v>
      </c>
      <c r="HN8" t="e">
        <f>#REF!+"$&gt;\f!=N"</f>
        <v>#REF!</v>
      </c>
      <c r="HO8" t="e">
        <f>#REF!+"$&gt;\f!=O"</f>
        <v>#REF!</v>
      </c>
      <c r="HP8" t="e">
        <f>#REF!+"$&gt;\f!=P"</f>
        <v>#REF!</v>
      </c>
      <c r="HQ8" t="e">
        <f>#REF!+"$&gt;\f!=Q"</f>
        <v>#REF!</v>
      </c>
      <c r="HR8" t="e">
        <f>#REF!+"$&gt;\f!=R"</f>
        <v>#REF!</v>
      </c>
      <c r="HS8" t="e">
        <f>#REF!+"$&gt;\f!=S"</f>
        <v>#REF!</v>
      </c>
      <c r="HT8" t="e">
        <f>#REF!+"$&gt;\f!=T"</f>
        <v>#REF!</v>
      </c>
      <c r="HU8" t="e">
        <f>#REF!+"$&gt;\f!=U"</f>
        <v>#REF!</v>
      </c>
      <c r="HV8" t="e">
        <f>#REF!+"$&gt;\f!=V"</f>
        <v>#REF!</v>
      </c>
      <c r="HW8" t="e">
        <f>#REF!+"$&gt;\f!=W"</f>
        <v>#REF!</v>
      </c>
      <c r="HX8" t="e">
        <f>#REF!+"$&gt;\f!=X"</f>
        <v>#REF!</v>
      </c>
      <c r="HY8" t="e">
        <f>#REF!+"$&gt;\f!=Y"</f>
        <v>#REF!</v>
      </c>
      <c r="HZ8" t="e">
        <f>#REF!+"$&gt;\f!=Z"</f>
        <v>#REF!</v>
      </c>
      <c r="IA8" t="e">
        <f>#REF!+"$&gt;\f!=["</f>
        <v>#REF!</v>
      </c>
      <c r="IB8" t="e">
        <f>#REF!+"$&gt;\f!=\"</f>
        <v>#REF!</v>
      </c>
      <c r="IC8" t="e">
        <f>#REF!+"$&gt;\f!=]"</f>
        <v>#REF!</v>
      </c>
      <c r="ID8" t="e">
        <f>#REF!+"$&gt;\f!=^"</f>
        <v>#REF!</v>
      </c>
      <c r="IE8" t="e">
        <f>#REF!+"$&gt;\f!=_"</f>
        <v>#REF!</v>
      </c>
      <c r="IF8" t="e">
        <f>#REF!+"$&gt;\f!=`"</f>
        <v>#REF!</v>
      </c>
      <c r="IG8" t="e">
        <f>#REF!+"$&gt;\f!=a"</f>
        <v>#REF!</v>
      </c>
      <c r="IH8" t="e">
        <f>#REF!+"$&gt;\f!=b"</f>
        <v>#REF!</v>
      </c>
      <c r="II8" t="e">
        <f>#REF!+"$&gt;\f!=c"</f>
        <v>#REF!</v>
      </c>
      <c r="IJ8" t="e">
        <f>#REF!+"$&gt;\f!=d"</f>
        <v>#REF!</v>
      </c>
      <c r="IK8" t="e">
        <f>#REF!+"$&gt;\f!=e"</f>
        <v>#REF!</v>
      </c>
      <c r="IL8" t="e">
        <f>#REF!+"$&gt;\f!=f"</f>
        <v>#REF!</v>
      </c>
      <c r="IM8" t="e">
        <f>#REF!+"$&gt;\f!=g"</f>
        <v>#REF!</v>
      </c>
      <c r="IN8" t="e">
        <f>#REF!+"$&gt;\f!=h"</f>
        <v>#REF!</v>
      </c>
      <c r="IO8" t="e">
        <f>#REF!+"$&gt;\f!=i"</f>
        <v>#REF!</v>
      </c>
      <c r="IP8" t="e">
        <f>#REF!+"$&gt;\f!=j"</f>
        <v>#REF!</v>
      </c>
      <c r="IQ8" t="e">
        <f>#REF!+"$&gt;\f!=k"</f>
        <v>#REF!</v>
      </c>
      <c r="IR8" t="e">
        <f>#REF!+"$&gt;\f!=l"</f>
        <v>#REF!</v>
      </c>
      <c r="IS8" t="e">
        <f>#REF!+"$&gt;\f!=m"</f>
        <v>#REF!</v>
      </c>
      <c r="IT8" t="e">
        <f>#REF!+"$&gt;\f!=n"</f>
        <v>#REF!</v>
      </c>
      <c r="IU8" t="e">
        <f>#REF!+"$&gt;\f!=o"</f>
        <v>#REF!</v>
      </c>
      <c r="IV8" t="e">
        <f>#REF!+"$&gt;\f!=p"</f>
        <v>#REF!</v>
      </c>
    </row>
    <row r="9" spans="1:256" x14ac:dyDescent="0.25">
      <c r="F9" t="e">
        <f>#REF!+"$&gt;\f!=q"</f>
        <v>#REF!</v>
      </c>
      <c r="G9" t="e">
        <f>#REF!+"$&gt;\f!=r"</f>
        <v>#REF!</v>
      </c>
      <c r="H9" t="e">
        <f>#REF!+"$&gt;\f!=s"</f>
        <v>#REF!</v>
      </c>
      <c r="I9" t="e">
        <f>#REF!+"$&gt;\f!=t"</f>
        <v>#REF!</v>
      </c>
      <c r="J9" t="e">
        <f>#REF!+"$&gt;\f!=u"</f>
        <v>#REF!</v>
      </c>
      <c r="K9" t="e">
        <f>#REF!+"$&gt;\f!=v"</f>
        <v>#REF!</v>
      </c>
      <c r="L9" t="e">
        <f>#REF!+"$&gt;\f!=w"</f>
        <v>#REF!</v>
      </c>
      <c r="M9" t="e">
        <f>#REF!+"$&gt;\f!=x"</f>
        <v>#REF!</v>
      </c>
      <c r="N9" t="e">
        <f>#REF!+"$&gt;\f!=y"</f>
        <v>#REF!</v>
      </c>
      <c r="O9" t="e">
        <f>#REF!+"$&gt;\f!=z"</f>
        <v>#REF!</v>
      </c>
      <c r="P9" t="e">
        <f>#REF!+"$&gt;\f!={"</f>
        <v>#REF!</v>
      </c>
      <c r="Q9" t="e">
        <f>#REF!+"$&gt;\f!=|"</f>
        <v>#REF!</v>
      </c>
      <c r="R9" t="e">
        <f>#REF!+"$&gt;\f!=}"</f>
        <v>#REF!</v>
      </c>
      <c r="S9" t="e">
        <f>#REF!+"$&gt;\f!=~"</f>
        <v>#REF!</v>
      </c>
      <c r="T9" t="e">
        <f>#REF!+"$&gt;\f!&gt;#"</f>
        <v>#REF!</v>
      </c>
      <c r="U9" t="e">
        <f>#REF!+"$&gt;\f!&gt;$"</f>
        <v>#REF!</v>
      </c>
      <c r="V9" t="e">
        <f>#REF!+"$&gt;\f!&gt;%"</f>
        <v>#REF!</v>
      </c>
      <c r="W9" t="e">
        <f>#REF!+"$&gt;\f!&gt;&amp;"</f>
        <v>#REF!</v>
      </c>
      <c r="X9" t="e">
        <f>#REF!+"$&gt;\f!&gt;'"</f>
        <v>#REF!</v>
      </c>
      <c r="Y9" t="e">
        <f>#REF!+"$&gt;\f!&gt;("</f>
        <v>#REF!</v>
      </c>
      <c r="Z9" t="e">
        <f>#REF!+"$&gt;\f!&gt;)"</f>
        <v>#REF!</v>
      </c>
      <c r="AA9" t="e">
        <f>#REF!+"$&gt;\f!&gt;."</f>
        <v>#REF!</v>
      </c>
      <c r="AB9" t="e">
        <f>#REF!+"$&gt;\f!&gt;/"</f>
        <v>#REF!</v>
      </c>
      <c r="AC9" t="e">
        <f>#REF!+"$&gt;\f!&gt;0"</f>
        <v>#REF!</v>
      </c>
      <c r="AD9" t="e">
        <f>#REF!+"$&gt;\f!&gt;1"</f>
        <v>#REF!</v>
      </c>
      <c r="AE9" t="e">
        <f>#REF!+"$&gt;\f!&gt;2"</f>
        <v>#REF!</v>
      </c>
      <c r="AF9" t="e">
        <f>#REF!*"$&gt;\f!&gt;3"</f>
        <v>#REF!</v>
      </c>
      <c r="AG9" t="e">
        <f>#REF!*"$&gt;\f!&gt;4"</f>
        <v>#REF!</v>
      </c>
      <c r="AH9" t="e">
        <f>#REF!*"$&gt;\f!&gt;5"</f>
        <v>#REF!</v>
      </c>
      <c r="AI9" t="e">
        <f>#REF!*"$&gt;\f!&gt;6"</f>
        <v>#REF!</v>
      </c>
      <c r="AJ9" t="e">
        <f>#REF!*"$&gt;\f!&gt;7"</f>
        <v>#REF!</v>
      </c>
      <c r="AK9" t="e">
        <f>#REF!*"$&gt;\f!&gt;8"</f>
        <v>#REF!</v>
      </c>
      <c r="AL9" t="e">
        <f>#REF!*"$&gt;\f!&gt;9"</f>
        <v>#REF!</v>
      </c>
      <c r="AM9" t="e">
        <f>#REF!*"$&gt;\f!&gt;:"</f>
        <v>#REF!</v>
      </c>
      <c r="AN9" t="e">
        <f>#REF!*"$&gt;\f!&gt;;"</f>
        <v>#REF!</v>
      </c>
      <c r="AO9" t="e">
        <f>#REF!*"$&gt;\f!&gt;&lt;"</f>
        <v>#REF!</v>
      </c>
      <c r="AP9" t="e">
        <f>#REF!*"$&gt;\f!&gt;="</f>
        <v>#REF!</v>
      </c>
      <c r="AQ9" t="e">
        <f>#REF!*"$&gt;\f!&gt;&gt;"</f>
        <v>#REF!</v>
      </c>
      <c r="AR9" t="e">
        <f>#REF!*"$&gt;\f!&gt;?"</f>
        <v>#REF!</v>
      </c>
      <c r="AS9" t="e">
        <f>#REF!*"$&gt;\f!&gt;@"</f>
        <v>#REF!</v>
      </c>
      <c r="AT9" t="e">
        <f>#REF!*"$&gt;\f!&gt;A"</f>
        <v>#REF!</v>
      </c>
      <c r="AU9" t="e">
        <f>#REF!*"$&gt;\f!&gt;B"</f>
        <v>#REF!</v>
      </c>
      <c r="AV9" t="e">
        <f>#REF!*"$&gt;\f!&gt;C"</f>
        <v>#REF!</v>
      </c>
      <c r="AW9" t="e">
        <f>#REF!*"$&gt;\f!&gt;D"</f>
        <v>#REF!</v>
      </c>
      <c r="AX9" t="e">
        <f>#REF!*"$&gt;\f!&gt;E"</f>
        <v>#REF!</v>
      </c>
      <c r="AY9" t="e">
        <f>#REF!*"$&gt;\f!&gt;F"</f>
        <v>#REF!</v>
      </c>
      <c r="AZ9" t="e">
        <f>#REF!*"$&gt;\f!&gt;G"</f>
        <v>#REF!</v>
      </c>
      <c r="BA9" t="e">
        <f>#REF!*"$&gt;\f!&gt;H"</f>
        <v>#REF!</v>
      </c>
      <c r="BB9" t="e">
        <f>#REF!*"$&gt;\f!&gt;I"</f>
        <v>#REF!</v>
      </c>
      <c r="BC9" t="e">
        <f>#REF!*"$&gt;\f!&gt;J"</f>
        <v>#REF!</v>
      </c>
      <c r="BD9" t="e">
        <f>#REF!*"$&gt;\f!&gt;K"</f>
        <v>#REF!</v>
      </c>
      <c r="BE9" t="e">
        <f>#REF!*"$&gt;\f!&gt;L"</f>
        <v>#REF!</v>
      </c>
      <c r="BF9" t="e">
        <f>#REF!*"$&gt;\f!&gt;M"</f>
        <v>#REF!</v>
      </c>
      <c r="BG9" t="e">
        <f>#REF!*"$&gt;\f!&gt;N"</f>
        <v>#REF!</v>
      </c>
      <c r="BH9" t="e">
        <f>#REF!*"$&gt;\f!&gt;O"</f>
        <v>#REF!</v>
      </c>
      <c r="BI9" t="e">
        <f>#REF!*"$&gt;\f!&gt;P"</f>
        <v>#REF!</v>
      </c>
      <c r="BJ9" t="e">
        <f>#REF!*"$&gt;\f!&gt;Q"</f>
        <v>#REF!</v>
      </c>
      <c r="BK9" t="e">
        <f>#REF!*"$&gt;\f!&gt;R"</f>
        <v>#REF!</v>
      </c>
      <c r="BL9" t="e">
        <f>#REF!*"$&gt;\f!&gt;S"</f>
        <v>#REF!</v>
      </c>
      <c r="BM9" t="e">
        <f>#REF!*"$&gt;\f!&gt;T"</f>
        <v>#REF!</v>
      </c>
      <c r="BN9" t="e">
        <f>#REF!*"$&gt;\f!&gt;U"</f>
        <v>#REF!</v>
      </c>
      <c r="BO9" t="e">
        <f>#REF!*"$&gt;\f!&gt;V"</f>
        <v>#REF!</v>
      </c>
      <c r="BP9" t="e">
        <f>#REF!*"$&gt;\f!&gt;W"</f>
        <v>#REF!</v>
      </c>
      <c r="BQ9" t="e">
        <f>#REF!*"$&gt;\f!&gt;X"</f>
        <v>#REF!</v>
      </c>
      <c r="BR9" t="e">
        <f>#REF!*"$&gt;\f!&gt;Y"</f>
        <v>#REF!</v>
      </c>
      <c r="BS9" t="e">
        <f>#REF!*"$&gt;\f!&gt;Z"</f>
        <v>#REF!</v>
      </c>
      <c r="BT9" t="e">
        <f>#REF!*"$&gt;\f!&gt;["</f>
        <v>#REF!</v>
      </c>
      <c r="BU9" t="e">
        <f>#REF!*"$&gt;\f!&gt;\"</f>
        <v>#REF!</v>
      </c>
      <c r="BV9" t="e">
        <f>#REF!*"$&gt;\f!&gt;]"</f>
        <v>#REF!</v>
      </c>
      <c r="BW9" t="e">
        <f>#REF!*"$&gt;\f!&gt;^"</f>
        <v>#REF!</v>
      </c>
      <c r="BX9" t="e">
        <f>#REF!*"$&gt;\f!&gt;_"</f>
        <v>#REF!</v>
      </c>
      <c r="BY9" t="e">
        <f>#REF!*"$&gt;\f!&gt;`"</f>
        <v>#REF!</v>
      </c>
      <c r="BZ9" t="e">
        <f>#REF!*"$&gt;\f!&gt;a"</f>
        <v>#REF!</v>
      </c>
      <c r="CA9" t="e">
        <f>#REF!*"$&gt;\f!&gt;b"</f>
        <v>#REF!</v>
      </c>
      <c r="CB9" t="e">
        <f>#REF!*"$&gt;\f!&gt;c"</f>
        <v>#REF!</v>
      </c>
      <c r="CC9" t="e">
        <f>#REF!*"$&gt;\f!&gt;d"</f>
        <v>#REF!</v>
      </c>
      <c r="CD9" t="e">
        <f>#REF!*"$&gt;\f!&gt;e"</f>
        <v>#REF!</v>
      </c>
      <c r="CE9" t="e">
        <f>#REF!*"$&gt;\f!&gt;f"</f>
        <v>#REF!</v>
      </c>
      <c r="CF9" t="e">
        <f>#REF!*"$&gt;\f!&gt;g"</f>
        <v>#REF!</v>
      </c>
      <c r="CG9" t="e">
        <f>#REF!*"$&gt;\f!&gt;h"</f>
        <v>#REF!</v>
      </c>
      <c r="CH9" t="e">
        <f>#REF!*"$&gt;\f!&gt;i"</f>
        <v>#REF!</v>
      </c>
      <c r="CI9" t="e">
        <f>#REF!*"$&gt;\f!&gt;j"</f>
        <v>#REF!</v>
      </c>
      <c r="CJ9" t="e">
        <f>#REF!*"$&gt;\f!&gt;k"</f>
        <v>#REF!</v>
      </c>
      <c r="CK9" t="e">
        <f>#REF!*"$&gt;\f!&gt;l"</f>
        <v>#REF!</v>
      </c>
      <c r="CL9" t="e">
        <f>#REF!*"$&gt;\f!&gt;m"</f>
        <v>#REF!</v>
      </c>
      <c r="CM9" t="e">
        <f>#REF!*"$&gt;\f!&gt;n"</f>
        <v>#REF!</v>
      </c>
      <c r="CN9" t="e">
        <f>#REF!*"$&gt;\f!&gt;o"</f>
        <v>#REF!</v>
      </c>
      <c r="CO9" t="e">
        <f>#REF!*"$&gt;\f!&gt;p"</f>
        <v>#REF!</v>
      </c>
      <c r="CP9" t="e">
        <f>#REF!*"$&gt;\f!&gt;q"</f>
        <v>#REF!</v>
      </c>
      <c r="CQ9" t="e">
        <f>#REF!*"$&gt;\f!&gt;r"</f>
        <v>#REF!</v>
      </c>
      <c r="CR9" t="e">
        <f>#REF!-"$&gt;\f!&gt;s"</f>
        <v>#REF!</v>
      </c>
      <c r="CS9" t="e">
        <f>#REF!-"$&gt;\f!&gt;t"</f>
        <v>#REF!</v>
      </c>
      <c r="CT9" t="e">
        <f>#REF!-"$&gt;\f!&gt;u"</f>
        <v>#REF!</v>
      </c>
      <c r="CU9" t="e">
        <f>#REF!-"$&gt;\f!&gt;v"</f>
        <v>#REF!</v>
      </c>
      <c r="CV9" t="e">
        <f>#REF!-"$&gt;\f!&gt;w"</f>
        <v>#REF!</v>
      </c>
      <c r="CW9" t="e">
        <f>#REF!-"$&gt;\f!&gt;x"</f>
        <v>#REF!</v>
      </c>
      <c r="CX9" t="e">
        <f>#REF!-"$&gt;\f!&gt;y"</f>
        <v>#REF!</v>
      </c>
      <c r="CY9" t="e">
        <f>#REF!-"$&gt;\f!&gt;z"</f>
        <v>#REF!</v>
      </c>
      <c r="CZ9" t="e">
        <f>#REF!-"$&gt;\f!&gt;{"</f>
        <v>#REF!</v>
      </c>
      <c r="DA9" t="e">
        <f>#REF!-"$&gt;\f!&gt;|"</f>
        <v>#REF!</v>
      </c>
      <c r="DB9" t="e">
        <f>#REF!-"$&gt;\f!&gt;}"</f>
        <v>#REF!</v>
      </c>
      <c r="DC9" t="e">
        <f>#REF!-"$&gt;\f!&gt;~"</f>
        <v>#REF!</v>
      </c>
      <c r="DD9" t="e">
        <f>#REF!-"$&gt;\f!?#"</f>
        <v>#REF!</v>
      </c>
      <c r="DE9" t="e">
        <f>#REF!-"$&gt;\f!?$"</f>
        <v>#REF!</v>
      </c>
      <c r="DF9" t="e">
        <f>#REF!-"$&gt;\f!?%"</f>
        <v>#REF!</v>
      </c>
      <c r="DG9" t="e">
        <f>#REF!-"$&gt;\f!?&amp;"</f>
        <v>#REF!</v>
      </c>
      <c r="DH9" t="e">
        <f>#REF!-"$&gt;\f!?'"</f>
        <v>#REF!</v>
      </c>
      <c r="DI9" t="e">
        <f>#REF!-"$&gt;\f!?("</f>
        <v>#REF!</v>
      </c>
      <c r="DJ9" t="e">
        <f>#REF!-"$&gt;\f!?)"</f>
        <v>#REF!</v>
      </c>
      <c r="DK9" t="e">
        <f>#REF!-"$&gt;\f!?."</f>
        <v>#REF!</v>
      </c>
      <c r="DL9" t="e">
        <f>#REF!-"$&gt;\f!?/"</f>
        <v>#REF!</v>
      </c>
      <c r="DM9" t="e">
        <f>#REF!-"$&gt;\f!?0"</f>
        <v>#REF!</v>
      </c>
      <c r="DN9" t="e">
        <f>#REF!-"$&gt;\f!?1"</f>
        <v>#REF!</v>
      </c>
      <c r="DO9" t="e">
        <f>#REF!-"$&gt;\f!?2"</f>
        <v>#REF!</v>
      </c>
      <c r="DP9" t="e">
        <f>#REF!-"$&gt;\f!?3"</f>
        <v>#REF!</v>
      </c>
      <c r="DQ9" t="e">
        <f>#REF!-"$&gt;\f!?4"</f>
        <v>#REF!</v>
      </c>
      <c r="DR9" t="e">
        <f>#REF!-"$&gt;\f!?5"</f>
        <v>#REF!</v>
      </c>
      <c r="DS9" t="e">
        <f>#REF!-"$&gt;\f!?6"</f>
        <v>#REF!</v>
      </c>
      <c r="DT9" t="e">
        <f>#REF!-"$&gt;\f!?7"</f>
        <v>#REF!</v>
      </c>
      <c r="DU9" t="e">
        <f>#REF!-"$&gt;\f!?8"</f>
        <v>#REF!</v>
      </c>
      <c r="DV9" t="e">
        <f>#REF!-"$&gt;\f!?9"</f>
        <v>#REF!</v>
      </c>
      <c r="DW9" t="e">
        <f>#REF!-"$&gt;\f!?:"</f>
        <v>#REF!</v>
      </c>
      <c r="DX9" t="e">
        <f>#REF!-"$&gt;\f!?;"</f>
        <v>#REF!</v>
      </c>
      <c r="DY9" t="e">
        <f>#REF!-"$&gt;\f!?&lt;"</f>
        <v>#REF!</v>
      </c>
      <c r="DZ9" t="e">
        <f>#REF!-"$&gt;\f!?="</f>
        <v>#REF!</v>
      </c>
      <c r="EA9" t="e">
        <f>#REF!-"$&gt;\f!?&gt;"</f>
        <v>#REF!</v>
      </c>
      <c r="EB9" t="e">
        <f>#REF!-"$&gt;\f!??"</f>
        <v>#REF!</v>
      </c>
      <c r="EC9" t="e">
        <f>#REF!-"$&gt;\f!?@"</f>
        <v>#REF!</v>
      </c>
      <c r="ED9" t="e">
        <f>#REF!-"$&gt;\f!?A"</f>
        <v>#REF!</v>
      </c>
      <c r="EE9" t="e">
        <f>#REF!-"$&gt;\f!?B"</f>
        <v>#REF!</v>
      </c>
      <c r="EF9" t="e">
        <f>#REF!-"$&gt;\f!?C"</f>
        <v>#REF!</v>
      </c>
      <c r="EG9" t="e">
        <f>#REF!-"$&gt;\f!?D"</f>
        <v>#REF!</v>
      </c>
      <c r="EH9" t="e">
        <f>#REF!-"$&gt;\f!?E"</f>
        <v>#REF!</v>
      </c>
      <c r="EI9" t="e">
        <f>#REF!-"$&gt;\f!?F"</f>
        <v>#REF!</v>
      </c>
      <c r="EJ9" t="e">
        <f>#REF!-"$&gt;\f!?G"</f>
        <v>#REF!</v>
      </c>
      <c r="EK9" t="e">
        <f>#REF!-"$&gt;\f!?H"</f>
        <v>#REF!</v>
      </c>
      <c r="EL9" t="e">
        <f>#REF!-"$&gt;\f!?I"</f>
        <v>#REF!</v>
      </c>
      <c r="EM9" t="e">
        <f>#REF!-"$&gt;\f!?J"</f>
        <v>#REF!</v>
      </c>
      <c r="EN9" t="e">
        <f>#REF!-"$&gt;\f!?K"</f>
        <v>#REF!</v>
      </c>
      <c r="EO9" t="e">
        <f>#REF!-"$&gt;\f!?L"</f>
        <v>#REF!</v>
      </c>
      <c r="EP9" t="e">
        <f>#REF!-"$&gt;\f!?M"</f>
        <v>#REF!</v>
      </c>
      <c r="EQ9" t="e">
        <f>#REF!-"$&gt;\f!?N"</f>
        <v>#REF!</v>
      </c>
      <c r="ER9" t="e">
        <f>#REF!-"$&gt;\f!?O"</f>
        <v>#REF!</v>
      </c>
      <c r="ES9" t="e">
        <f>#REF!-"$&gt;\f!?P"</f>
        <v>#REF!</v>
      </c>
      <c r="ET9" t="e">
        <f>#REF!-"$&gt;\f!?Q"</f>
        <v>#REF!</v>
      </c>
      <c r="EU9" t="e">
        <f>#REF!-"$&gt;\f!?R"</f>
        <v>#REF!</v>
      </c>
      <c r="EV9" t="e">
        <f>#REF!-"$&gt;\f!?S"</f>
        <v>#REF!</v>
      </c>
      <c r="EW9" t="e">
        <f>#REF!-"$&gt;\f!?T"</f>
        <v>#REF!</v>
      </c>
      <c r="EX9" t="e">
        <f>#REF!-"$&gt;\f!?U"</f>
        <v>#REF!</v>
      </c>
      <c r="EY9" t="e">
        <f>#REF!-"$&gt;\f!?V"</f>
        <v>#REF!</v>
      </c>
      <c r="EZ9" t="e">
        <f>#REF!-"$&gt;\f!?W"</f>
        <v>#REF!</v>
      </c>
      <c r="FA9" t="e">
        <f>#REF!-"$&gt;\f!?X"</f>
        <v>#REF!</v>
      </c>
      <c r="FB9" t="e">
        <f>#REF!-"$&gt;\f!?Y"</f>
        <v>#REF!</v>
      </c>
      <c r="FC9" t="e">
        <f>#REF!-"$&gt;\f!?Z"</f>
        <v>#REF!</v>
      </c>
      <c r="FD9" t="e">
        <f>#REF!-"$&gt;\f!?["</f>
        <v>#REF!</v>
      </c>
      <c r="FE9" t="e">
        <f>#REF!-"$&gt;\f!?\"</f>
        <v>#REF!</v>
      </c>
      <c r="FF9" t="e">
        <f>#REF!-"$&gt;\f!?]"</f>
        <v>#REF!</v>
      </c>
      <c r="FG9" t="e">
        <f>#REF!-"$&gt;\f!?^"</f>
        <v>#REF!</v>
      </c>
      <c r="FH9" t="e">
        <f>#REF!-"$&gt;\f!?_"</f>
        <v>#REF!</v>
      </c>
      <c r="FI9" t="e">
        <f>#REF!-"$&gt;\f!?`"</f>
        <v>#REF!</v>
      </c>
      <c r="FJ9" t="e">
        <f>#REF!-"$&gt;\f!?a"</f>
        <v>#REF!</v>
      </c>
      <c r="FK9" t="e">
        <f>#REF!-"$&gt;\f!?b"</f>
        <v>#REF!</v>
      </c>
      <c r="FL9" t="e">
        <f>#REF!-"$&gt;\f!?c"</f>
        <v>#REF!</v>
      </c>
      <c r="FM9" t="e">
        <f>#REF!-"$&gt;\f!?d"</f>
        <v>#REF!</v>
      </c>
      <c r="FN9" t="e">
        <f>#REF!-"$&gt;\f!?e"</f>
        <v>#REF!</v>
      </c>
      <c r="FO9" t="e">
        <f>#REF!-"$&gt;\f!?f"</f>
        <v>#REF!</v>
      </c>
      <c r="FP9" t="e">
        <f>#REF!-"$&gt;\f!?g"</f>
        <v>#REF!</v>
      </c>
      <c r="FQ9" t="e">
        <f>#REF!-"$&gt;\f!?h"</f>
        <v>#REF!</v>
      </c>
      <c r="FR9" t="e">
        <f>#REF!-"$&gt;\f!?i"</f>
        <v>#REF!</v>
      </c>
      <c r="FS9" t="e">
        <f>#REF!-"$&gt;\f!?j"</f>
        <v>#REF!</v>
      </c>
      <c r="FT9" t="e">
        <f>#REF!-"$&gt;\f!?k"</f>
        <v>#REF!</v>
      </c>
      <c r="FU9" t="e">
        <f>#REF!-"$&gt;\f!?l"</f>
        <v>#REF!</v>
      </c>
      <c r="FV9" t="e">
        <f>#REF!-"$&gt;\f!?m"</f>
        <v>#REF!</v>
      </c>
      <c r="FW9" t="e">
        <f>#REF!-"$&gt;\f!?n"</f>
        <v>#REF!</v>
      </c>
      <c r="FX9" t="e">
        <f>#REF!-"$&gt;\f!?o"</f>
        <v>#REF!</v>
      </c>
      <c r="FY9" t="e">
        <f>#REF!-"$&gt;\f!?p"</f>
        <v>#REF!</v>
      </c>
      <c r="FZ9" t="e">
        <f>#REF!-"$&gt;\f!?q"</f>
        <v>#REF!</v>
      </c>
      <c r="GA9" t="e">
        <f>#REF!-"$&gt;\f!?r"</f>
        <v>#REF!</v>
      </c>
      <c r="GB9" t="e">
        <f>#REF!-"$&gt;\f!?s"</f>
        <v>#REF!</v>
      </c>
      <c r="GC9" t="e">
        <f>#REF!-"$&gt;\f!?t"</f>
        <v>#REF!</v>
      </c>
      <c r="GD9" t="e">
        <f>#REF!-"$&gt;\f!?u"</f>
        <v>#REF!</v>
      </c>
      <c r="GE9" t="e">
        <f>#REF!-"$&gt;\f!?v"</f>
        <v>#REF!</v>
      </c>
      <c r="GF9" t="e">
        <f>#REF!-"$&gt;\f!?w"</f>
        <v>#REF!</v>
      </c>
      <c r="GG9" t="e">
        <f>#REF!-"$&gt;\f!?x"</f>
        <v>#REF!</v>
      </c>
      <c r="GH9" t="e">
        <f>#REF!-"$&gt;\f!?y"</f>
        <v>#REF!</v>
      </c>
      <c r="GI9" t="e">
        <f>#REF!-"$&gt;\f!?z"</f>
        <v>#REF!</v>
      </c>
      <c r="GJ9" t="e">
        <f>#REF!-"$&gt;\f!?{"</f>
        <v>#REF!</v>
      </c>
      <c r="GK9" t="e">
        <f>#REF!-"$&gt;\f!?|"</f>
        <v>#REF!</v>
      </c>
      <c r="GL9" t="e">
        <f>#REF!-"$&gt;\f!?}"</f>
        <v>#REF!</v>
      </c>
      <c r="GM9" t="e">
        <f>#REF!-"$&gt;\f!?~"</f>
        <v>#REF!</v>
      </c>
      <c r="GN9" t="e">
        <f>#REF!-"$&gt;\f!@#"</f>
        <v>#REF!</v>
      </c>
      <c r="GO9" t="e">
        <f>#REF!-"$&gt;\f!@$"</f>
        <v>#REF!</v>
      </c>
      <c r="GP9" t="e">
        <f>#REF!-"$&gt;\f!@%"</f>
        <v>#REF!</v>
      </c>
      <c r="GQ9" t="e">
        <f>#REF!-"$&gt;\f!@&amp;"</f>
        <v>#REF!</v>
      </c>
      <c r="GR9" t="e">
        <f>#REF!-"$&gt;\f!@'"</f>
        <v>#REF!</v>
      </c>
      <c r="GS9" t="e">
        <f>#REF!-"$&gt;\f!@("</f>
        <v>#REF!</v>
      </c>
      <c r="GT9" t="e">
        <f>#REF!-"$&gt;\f!@)"</f>
        <v>#REF!</v>
      </c>
      <c r="GU9" t="e">
        <f>#REF!-"$&gt;\f!@."</f>
        <v>#REF!</v>
      </c>
      <c r="GV9" t="e">
        <f>#REF!-"$&gt;\f!@/"</f>
        <v>#REF!</v>
      </c>
      <c r="GW9" t="e">
        <f>#REF!-"$&gt;\f!@0"</f>
        <v>#REF!</v>
      </c>
      <c r="GX9" t="e">
        <f>#REF!-"$&gt;\f!@1"</f>
        <v>#REF!</v>
      </c>
      <c r="GY9" t="e">
        <f>#REF!-"$&gt;\f!@2"</f>
        <v>#REF!</v>
      </c>
      <c r="GZ9" t="e">
        <f>#REF!-"$&gt;\f!@3"</f>
        <v>#REF!</v>
      </c>
      <c r="HA9" t="e">
        <f>#REF!-"$&gt;\f!@4"</f>
        <v>#REF!</v>
      </c>
      <c r="HB9" t="e">
        <f>#REF!-"$&gt;\f!@5"</f>
        <v>#REF!</v>
      </c>
      <c r="HC9" t="e">
        <f>#REF!-"$&gt;\f!@6"</f>
        <v>#REF!</v>
      </c>
      <c r="HD9" t="e">
        <f>#REF!-"$&gt;\f!@7"</f>
        <v>#REF!</v>
      </c>
      <c r="HE9" t="e">
        <f>#REF!-"$&gt;\f!@8"</f>
        <v>#REF!</v>
      </c>
      <c r="HF9" t="e">
        <f>#REF!-"$&gt;\f!@9"</f>
        <v>#REF!</v>
      </c>
      <c r="HG9" t="e">
        <f>#REF!-"$&gt;\f!@:"</f>
        <v>#REF!</v>
      </c>
      <c r="HH9" t="e">
        <f>#REF!-"$&gt;\f!@;"</f>
        <v>#REF!</v>
      </c>
      <c r="HI9" t="e">
        <f>#REF!-"$&gt;\f!@&lt;"</f>
        <v>#REF!</v>
      </c>
      <c r="HJ9" t="e">
        <f>#REF!-"$&gt;\f!@="</f>
        <v>#REF!</v>
      </c>
      <c r="HK9" t="e">
        <f>#REF!-"$&gt;\f!@&gt;"</f>
        <v>#REF!</v>
      </c>
      <c r="HL9" t="e">
        <f>#REF!-"$&gt;\f!@?"</f>
        <v>#REF!</v>
      </c>
      <c r="HM9" t="e">
        <f>#REF!-"$&gt;\f!@@"</f>
        <v>#REF!</v>
      </c>
      <c r="HN9" t="e">
        <f>#REF!-"$&gt;\f!@A"</f>
        <v>#REF!</v>
      </c>
      <c r="HO9" t="e">
        <f>#REF!-"$&gt;\f!@B"</f>
        <v>#REF!</v>
      </c>
      <c r="HP9" t="e">
        <f>#REF!-"$&gt;\f!@C"</f>
        <v>#REF!</v>
      </c>
      <c r="HQ9" t="e">
        <f>#REF!-"$&gt;\f!@D"</f>
        <v>#REF!</v>
      </c>
      <c r="HR9" t="e">
        <f>#REF!-"$&gt;\f!@E"</f>
        <v>#REF!</v>
      </c>
      <c r="HS9" t="e">
        <f>#REF!-"$&gt;\f!@F"</f>
        <v>#REF!</v>
      </c>
      <c r="HT9" t="e">
        <f>#REF!-"$&gt;\f!@G"</f>
        <v>#REF!</v>
      </c>
      <c r="HU9" t="e">
        <f>#REF!-"$&gt;\f!@H"</f>
        <v>#REF!</v>
      </c>
      <c r="HV9" t="e">
        <f>#REF!-"$&gt;\f!@I"</f>
        <v>#REF!</v>
      </c>
      <c r="HW9" t="e">
        <f>#REF!-"$&gt;\f!@J"</f>
        <v>#REF!</v>
      </c>
      <c r="HX9" t="e">
        <f>#REF!-"$&gt;\f!@K"</f>
        <v>#REF!</v>
      </c>
      <c r="HY9" t="e">
        <f>#REF!-"$&gt;\f!@L"</f>
        <v>#REF!</v>
      </c>
      <c r="HZ9" t="e">
        <f>#REF!-"$&gt;\f!@M"</f>
        <v>#REF!</v>
      </c>
      <c r="IA9" t="e">
        <f>#REF!-"$&gt;\f!@N"</f>
        <v>#REF!</v>
      </c>
      <c r="IB9" t="e">
        <f>#REF!-"$&gt;\f!@O"</f>
        <v>#REF!</v>
      </c>
      <c r="IC9" t="e">
        <f>#REF!-"$&gt;\f!@P"</f>
        <v>#REF!</v>
      </c>
      <c r="ID9" t="e">
        <f>#REF!-"$&gt;\f!@Q"</f>
        <v>#REF!</v>
      </c>
      <c r="IE9" t="e">
        <f>#REF!-"$&gt;\f!@R"</f>
        <v>#REF!</v>
      </c>
      <c r="IF9" t="e">
        <f>#REF!-"$&gt;\f!@S"</f>
        <v>#REF!</v>
      </c>
      <c r="IG9" t="e">
        <f>#REF!-"$&gt;\f!@T"</f>
        <v>#REF!</v>
      </c>
      <c r="IH9" t="e">
        <f>#REF!-"$&gt;\f!@U"</f>
        <v>#REF!</v>
      </c>
      <c r="II9" t="e">
        <f>#REF!-"$&gt;\f!@V"</f>
        <v>#REF!</v>
      </c>
      <c r="IJ9" t="e">
        <f>#REF!-"$&gt;\f!@W"</f>
        <v>#REF!</v>
      </c>
      <c r="IK9" t="e">
        <f>#REF!-"$&gt;\f!@X"</f>
        <v>#REF!</v>
      </c>
      <c r="IL9" t="e">
        <f>#REF!-"$&gt;\f!@Y"</f>
        <v>#REF!</v>
      </c>
      <c r="IM9" t="e">
        <f>#REF!-"$&gt;\f!@Z"</f>
        <v>#REF!</v>
      </c>
      <c r="IN9" t="e">
        <f>#REF!-"$&gt;\f!@["</f>
        <v>#REF!</v>
      </c>
      <c r="IO9" t="e">
        <f>#REF!-"$&gt;\f!@\"</f>
        <v>#REF!</v>
      </c>
      <c r="IP9" t="e">
        <f>#REF!-"$&gt;\f!@]"</f>
        <v>#REF!</v>
      </c>
      <c r="IQ9" t="e">
        <f>#REF!-"$&gt;\f!@^"</f>
        <v>#REF!</v>
      </c>
      <c r="IR9" t="e">
        <f>#REF!-"$&gt;\f!@_"</f>
        <v>#REF!</v>
      </c>
      <c r="IS9" t="e">
        <f>#REF!-"$&gt;\f!@`"</f>
        <v>#REF!</v>
      </c>
      <c r="IT9" t="e">
        <f>#REF!-"$&gt;\f!@a"</f>
        <v>#REF!</v>
      </c>
      <c r="IU9" t="e">
        <f>#REF!-"$&gt;\f!@b"</f>
        <v>#REF!</v>
      </c>
      <c r="IV9" t="e">
        <f>#REF!-"$&gt;\f!@c"</f>
        <v>#REF!</v>
      </c>
    </row>
    <row r="10" spans="1:256" x14ac:dyDescent="0.25">
      <c r="F10" t="e">
        <f>#REF!-"$&gt;\f!@d"</f>
        <v>#REF!</v>
      </c>
      <c r="G10" t="e">
        <f>#REF!-"$&gt;\f!@e"</f>
        <v>#REF!</v>
      </c>
      <c r="H10" t="e">
        <f>#REF!-"$&gt;\f!@f"</f>
        <v>#REF!</v>
      </c>
      <c r="I10" t="e">
        <f>#REF!-"$&gt;\f!@g"</f>
        <v>#REF!</v>
      </c>
      <c r="J10" t="e">
        <f>#REF!-"$&gt;\f!@h"</f>
        <v>#REF!</v>
      </c>
      <c r="K10" t="e">
        <f>#REF!-"$&gt;\f!@i"</f>
        <v>#REF!</v>
      </c>
      <c r="L10" t="e">
        <f>#REF!-"$&gt;\f!@j"</f>
        <v>#REF!</v>
      </c>
      <c r="M10" t="e">
        <f>#REF!-"$&gt;\f!@k"</f>
        <v>#REF!</v>
      </c>
      <c r="N10" t="e">
        <f>#REF!-"$&gt;\f!@l"</f>
        <v>#REF!</v>
      </c>
      <c r="O10" t="e">
        <f>#REF!-"$&gt;\f!@m"</f>
        <v>#REF!</v>
      </c>
      <c r="P10" t="e">
        <f>#REF!-"$&gt;\f!@n"</f>
        <v>#REF!</v>
      </c>
      <c r="Q10" t="e">
        <f>#REF!-"$&gt;\f!@o"</f>
        <v>#REF!</v>
      </c>
      <c r="R10" t="e">
        <f>#REF!-"$&gt;\f!@p"</f>
        <v>#REF!</v>
      </c>
      <c r="S10" t="e">
        <f>#REF!-"$&gt;\f!@q"</f>
        <v>#REF!</v>
      </c>
      <c r="T10" t="e">
        <f>#REF!-"$&gt;\f!@r"</f>
        <v>#REF!</v>
      </c>
      <c r="U10" t="e">
        <f>#REF!-"$&gt;\f!@s"</f>
        <v>#REF!</v>
      </c>
      <c r="V10" t="e">
        <f>#REF!-"$&gt;\f!@t"</f>
        <v>#REF!</v>
      </c>
      <c r="W10" t="e">
        <f>#REF!-"$&gt;\f!@u"</f>
        <v>#REF!</v>
      </c>
      <c r="X10" t="e">
        <f>#REF!-"$&gt;\f!@v"</f>
        <v>#REF!</v>
      </c>
      <c r="Y10" t="e">
        <f>#REF!-"$&gt;\f!@w"</f>
        <v>#REF!</v>
      </c>
      <c r="Z10" t="e">
        <f>#REF!-"$&gt;\f!@x"</f>
        <v>#REF!</v>
      </c>
      <c r="AA10" t="e">
        <f>#REF!-"$&gt;\f!@y"</f>
        <v>#REF!</v>
      </c>
      <c r="AB10" t="e">
        <f>#REF!-"$&gt;\f!@z"</f>
        <v>#REF!</v>
      </c>
      <c r="AC10" t="e">
        <f>#REF!-"$&gt;\f!@{"</f>
        <v>#REF!</v>
      </c>
      <c r="AD10" t="e">
        <f>#REF!-"$&gt;\f!@|"</f>
        <v>#REF!</v>
      </c>
      <c r="AE10" t="e">
        <f>#REF!-"$&gt;\f!@}"</f>
        <v>#REF!</v>
      </c>
      <c r="AF10" t="e">
        <f>#REF!-"$&gt;\f!@~"</f>
        <v>#REF!</v>
      </c>
      <c r="AG10" t="e">
        <f>#REF!-"$&gt;\f!A#"</f>
        <v>#REF!</v>
      </c>
      <c r="AH10" t="e">
        <f>#REF!-"$&gt;\f!A$"</f>
        <v>#REF!</v>
      </c>
      <c r="AI10" t="e">
        <f>#REF!-"$&gt;\f!A%"</f>
        <v>#REF!</v>
      </c>
      <c r="AJ10" t="e">
        <f>#REF!-"$&gt;\f!A&amp;"</f>
        <v>#REF!</v>
      </c>
      <c r="AK10" t="e">
        <f>#REF!-"$&gt;\f!A'"</f>
        <v>#REF!</v>
      </c>
      <c r="AL10" t="e">
        <f>#REF!-"$&gt;\f!A("</f>
        <v>#REF!</v>
      </c>
      <c r="AM10" t="e">
        <f>#REF!-"$&gt;\f!A)"</f>
        <v>#REF!</v>
      </c>
      <c r="AN10" t="e">
        <f>#REF!-"$&gt;\f!A."</f>
        <v>#REF!</v>
      </c>
      <c r="AO10" t="e">
        <f>#REF!-"$&gt;\f!A/"</f>
        <v>#REF!</v>
      </c>
      <c r="AP10" t="e">
        <f>#REF!-"$&gt;\f!A0"</f>
        <v>#REF!</v>
      </c>
      <c r="AQ10" t="e">
        <f>#REF!-"$&gt;\f!A1"</f>
        <v>#REF!</v>
      </c>
      <c r="AR10" t="e">
        <f>#REF!-"$&gt;\f!A2"</f>
        <v>#REF!</v>
      </c>
      <c r="AS10" t="e">
        <f>#REF!-"$&gt;\f!A3"</f>
        <v>#REF!</v>
      </c>
      <c r="AT10" t="e">
        <f>#REF!-"$&gt;\f!A4"</f>
        <v>#REF!</v>
      </c>
      <c r="AU10" t="e">
        <f>#REF!-"$&gt;\f!A5"</f>
        <v>#REF!</v>
      </c>
      <c r="AV10" t="e">
        <f>#REF!-"$&gt;\f!A6"</f>
        <v>#REF!</v>
      </c>
      <c r="AW10" t="e">
        <f>#REF!-"$&gt;\f!A7"</f>
        <v>#REF!</v>
      </c>
      <c r="AX10" t="e">
        <f>#REF!-"$&gt;\f!A8"</f>
        <v>#REF!</v>
      </c>
      <c r="AY10" t="e">
        <f>#REF!-"$&gt;\f!A9"</f>
        <v>#REF!</v>
      </c>
      <c r="AZ10" t="e">
        <f>#REF!-"$&gt;\f!A:"</f>
        <v>#REF!</v>
      </c>
      <c r="BA10" t="e">
        <f>#REF!-"$&gt;\f!A;"</f>
        <v>#REF!</v>
      </c>
      <c r="BB10" t="e">
        <f>#REF!-"$&gt;\f!A&lt;"</f>
        <v>#REF!</v>
      </c>
      <c r="BC10" t="e">
        <f>#REF!-"$&gt;\f!A="</f>
        <v>#REF!</v>
      </c>
      <c r="BD10" t="e">
        <f>#REF!-"$&gt;\f!A&gt;"</f>
        <v>#REF!</v>
      </c>
      <c r="BE10" t="e">
        <f>#REF!-"$&gt;\f!A?"</f>
        <v>#REF!</v>
      </c>
      <c r="BF10" t="e">
        <f>#REF!-"$&gt;\f!A@"</f>
        <v>#REF!</v>
      </c>
      <c r="BG10" t="e">
        <f>#REF!-"$&gt;\f!AA"</f>
        <v>#REF!</v>
      </c>
      <c r="BH10" t="e">
        <f>#REF!-"$&gt;\f!AB"</f>
        <v>#REF!</v>
      </c>
      <c r="BI10" t="e">
        <f>#REF!-"$&gt;\f!AC"</f>
        <v>#REF!</v>
      </c>
      <c r="BJ10" t="e">
        <f>#REF!+"$&gt;\f!AD"</f>
        <v>#REF!</v>
      </c>
      <c r="BK10" t="e">
        <f>#REF!+"$&gt;\f!AE"</f>
        <v>#REF!</v>
      </c>
      <c r="BL10" t="e">
        <f>#REF!+"$&gt;\f!AF"</f>
        <v>#REF!</v>
      </c>
      <c r="BM10" t="e">
        <f>#REF!+"$&gt;\f!AG"</f>
        <v>#REF!</v>
      </c>
      <c r="BN10" t="e">
        <f>#REF!+"$&gt;\f!AH"</f>
        <v>#REF!</v>
      </c>
      <c r="BO10" t="e">
        <f>#REF!+"$&gt;\f!AI"</f>
        <v>#REF!</v>
      </c>
      <c r="BP10" t="e">
        <f>#REF!+"$&gt;\f!AJ"</f>
        <v>#REF!</v>
      </c>
      <c r="BQ10" t="e">
        <f>#REF!+"$&gt;\f!AK"</f>
        <v>#REF!</v>
      </c>
      <c r="BR10" t="e">
        <f>#REF!+"$&gt;\f!AL"</f>
        <v>#REF!</v>
      </c>
      <c r="BS10" t="e">
        <f>#REF!+"$&gt;\f!AM"</f>
        <v>#REF!</v>
      </c>
      <c r="BT10" t="e">
        <f>#REF!+"$&gt;\f!AN"</f>
        <v>#REF!</v>
      </c>
      <c r="BU10" t="e">
        <f>#REF!+"$&gt;\f!AO"</f>
        <v>#REF!</v>
      </c>
      <c r="BV10" t="e">
        <f>#REF!+"$&gt;\f!AP"</f>
        <v>#REF!</v>
      </c>
      <c r="BW10" t="e">
        <f>#REF!+"$&gt;\f!AQ"</f>
        <v>#REF!</v>
      </c>
      <c r="BX10" t="e">
        <f>#REF!+"$&gt;\f!AR"</f>
        <v>#REF!</v>
      </c>
      <c r="BY10" t="e">
        <f>#REF!+"$&gt;\f!AS"</f>
        <v>#REF!</v>
      </c>
      <c r="BZ10" t="e">
        <f>#REF!+"$&gt;\f!AT"</f>
        <v>#REF!</v>
      </c>
      <c r="CA10" t="e">
        <f>#REF!+"$&gt;\f!AU"</f>
        <v>#REF!</v>
      </c>
      <c r="CB10" t="e">
        <f>#REF!+"$&gt;\f!AV"</f>
        <v>#REF!</v>
      </c>
      <c r="CC10" t="e">
        <f>#REF!+"$&gt;\f!AW"</f>
        <v>#REF!</v>
      </c>
      <c r="CD10" t="e">
        <f>#REF!+"$&gt;\f!AX"</f>
        <v>#REF!</v>
      </c>
      <c r="CE10" t="e">
        <f>#REF!+"$&gt;\f!AY"</f>
        <v>#REF!</v>
      </c>
      <c r="CF10" t="e">
        <f>#REF!+"$&gt;\f!AZ"</f>
        <v>#REF!</v>
      </c>
      <c r="CG10" t="e">
        <f>#REF!+"$&gt;\f!A["</f>
        <v>#REF!</v>
      </c>
      <c r="CH10" t="e">
        <f>#REF!+"$&gt;\f!A\"</f>
        <v>#REF!</v>
      </c>
      <c r="CI10" t="e">
        <f>#REF!+"$&gt;\f!A]"</f>
        <v>#REF!</v>
      </c>
      <c r="CJ10" t="e">
        <f>#REF!+"$&gt;\f!A^"</f>
        <v>#REF!</v>
      </c>
      <c r="CK10" t="e">
        <f>#REF!+"$&gt;\f!A_"</f>
        <v>#REF!</v>
      </c>
      <c r="CL10" t="e">
        <f>#REF!+"$&gt;\f!A`"</f>
        <v>#REF!</v>
      </c>
      <c r="CM10" t="e">
        <f>#REF!+"$&gt;\f!Aa"</f>
        <v>#REF!</v>
      </c>
      <c r="CN10" t="e">
        <f>#REF!+"$&gt;\f!Ab"</f>
        <v>#REF!</v>
      </c>
      <c r="CO10" t="e">
        <f>#REF!+"$&gt;\f!Ac"</f>
        <v>#REF!</v>
      </c>
      <c r="CP10" t="e">
        <f>#REF!+"$&gt;\f!Ad"</f>
        <v>#REF!</v>
      </c>
      <c r="CQ10" t="e">
        <f>#REF!+"$&gt;\f!Ae"</f>
        <v>#REF!</v>
      </c>
      <c r="CR10" t="e">
        <f>#REF!+"$&gt;\f!Af"</f>
        <v>#REF!</v>
      </c>
      <c r="CS10" t="e">
        <f>#REF!+"$&gt;\f!Ag"</f>
        <v>#REF!</v>
      </c>
      <c r="CT10" t="e">
        <f>#REF!+"$&gt;\f!Ah"</f>
        <v>#REF!</v>
      </c>
      <c r="CU10" t="e">
        <f>#REF!+"$&gt;\f!Ai"</f>
        <v>#REF!</v>
      </c>
      <c r="CV10" t="e">
        <f>#REF!+"$&gt;\f!Aj"</f>
        <v>#REF!</v>
      </c>
      <c r="CW10" t="e">
        <f>#REF!+"$&gt;\f!Ak"</f>
        <v>#REF!</v>
      </c>
      <c r="CX10" t="e">
        <f>#REF!+"$&gt;\f!Al"</f>
        <v>#REF!</v>
      </c>
      <c r="CY10" t="e">
        <f>#REF!+"$&gt;\f!Am"</f>
        <v>#REF!</v>
      </c>
      <c r="CZ10" t="e">
        <f>#REF!+"$&gt;\f!An"</f>
        <v>#REF!</v>
      </c>
      <c r="DA10" t="e">
        <f>#REF!+"$&gt;\f!Ao"</f>
        <v>#REF!</v>
      </c>
      <c r="DB10" t="e">
        <f>#REF!+"$&gt;\f!Ap"</f>
        <v>#REF!</v>
      </c>
      <c r="DC10" t="e">
        <f>#REF!+"$&gt;\f!Aq"</f>
        <v>#REF!</v>
      </c>
      <c r="DD10" t="e">
        <f>#REF!+"$&gt;\f!Ar"</f>
        <v>#REF!</v>
      </c>
      <c r="DE10" t="e">
        <f>#REF!+"$&gt;\f!As"</f>
        <v>#REF!</v>
      </c>
      <c r="DF10" t="e">
        <f>#REF!+"$&gt;\f!At"</f>
        <v>#REF!</v>
      </c>
      <c r="DG10" t="e">
        <f>#REF!+"$&gt;\f!Au"</f>
        <v>#REF!</v>
      </c>
      <c r="DH10" t="e">
        <f>#REF!+"$&gt;\f!Av"</f>
        <v>#REF!</v>
      </c>
      <c r="DI10" t="e">
        <f>#REF!+"$&gt;\f!Aw"</f>
        <v>#REF!</v>
      </c>
      <c r="DJ10" t="e">
        <f>#REF!+"$&gt;\f!Ax"</f>
        <v>#REF!</v>
      </c>
      <c r="DK10" t="e">
        <f>#REF!+"$&gt;\f!Ay"</f>
        <v>#REF!</v>
      </c>
      <c r="DL10" t="e">
        <f>#REF!+"$&gt;\f!Az"</f>
        <v>#REF!</v>
      </c>
      <c r="DM10" t="e">
        <f>#REF!+"$&gt;\f!A{"</f>
        <v>#REF!</v>
      </c>
      <c r="DN10" t="e">
        <f>#REF!+"$&gt;\f!A|"</f>
        <v>#REF!</v>
      </c>
      <c r="DO10" t="e">
        <f>#REF!+"$&gt;\f!A}"</f>
        <v>#REF!</v>
      </c>
      <c r="DP10" t="e">
        <f>#REF!+"$&gt;\f!A~"</f>
        <v>#REF!</v>
      </c>
      <c r="DQ10" t="e">
        <f>#REF!+"$&gt;\f!B#"</f>
        <v>#REF!</v>
      </c>
      <c r="DR10" t="e">
        <f>#REF!+"$&gt;\f!B$"</f>
        <v>#REF!</v>
      </c>
      <c r="DS10" t="e">
        <f>#REF!+"$&gt;\f!B%"</f>
        <v>#REF!</v>
      </c>
      <c r="DT10" t="e">
        <f>#REF!+"$&gt;\f!B&amp;"</f>
        <v>#REF!</v>
      </c>
      <c r="DU10" t="e">
        <f>#REF!+"$&gt;\f!B'"</f>
        <v>#REF!</v>
      </c>
      <c r="DV10" t="e">
        <f>#REF!+"$&gt;\f!B("</f>
        <v>#REF!</v>
      </c>
      <c r="DW10" t="e">
        <f>#REF!+"$&gt;\f!B)"</f>
        <v>#REF!</v>
      </c>
      <c r="DX10" t="e">
        <f>#REF!+"$&gt;\f!B."</f>
        <v>#REF!</v>
      </c>
      <c r="DY10" t="e">
        <f>#REF!+"$&gt;\f!B/"</f>
        <v>#REF!</v>
      </c>
      <c r="DZ10" t="e">
        <f>#REF!+"$&gt;\f!B0"</f>
        <v>#REF!</v>
      </c>
      <c r="EA10" t="e">
        <f>#REF!+"$&gt;\f!B1"</f>
        <v>#REF!</v>
      </c>
      <c r="EB10" t="e">
        <f>#REF!+"$&gt;\f!B2"</f>
        <v>#REF!</v>
      </c>
      <c r="EC10" t="e">
        <f>#REF!+"$&gt;\f!B3"</f>
        <v>#REF!</v>
      </c>
      <c r="ED10" t="e">
        <f>#REF!+"$&gt;\f!B4"</f>
        <v>#REF!</v>
      </c>
      <c r="EE10" t="e">
        <f>#REF!+"$&gt;\f!B5"</f>
        <v>#REF!</v>
      </c>
      <c r="EF10" t="e">
        <f>#REF!+"$&gt;\f!B6"</f>
        <v>#REF!</v>
      </c>
      <c r="EG10" t="e">
        <f>#REF!+"$&gt;\f!B7"</f>
        <v>#REF!</v>
      </c>
      <c r="EH10" t="e">
        <f>#REF!+"$&gt;\f!B8"</f>
        <v>#REF!</v>
      </c>
      <c r="EI10" t="e">
        <f>#REF!+"$&gt;\f!B9"</f>
        <v>#REF!</v>
      </c>
      <c r="EJ10" t="e">
        <f>#REF!+"$&gt;\f!B:"</f>
        <v>#REF!</v>
      </c>
      <c r="EK10" t="e">
        <f>#REF!+"$&gt;\f!B;"</f>
        <v>#REF!</v>
      </c>
      <c r="EL10" t="e">
        <f>#REF!+"$&gt;\f!B&lt;"</f>
        <v>#REF!</v>
      </c>
      <c r="EM10" t="e">
        <f>#REF!+"$&gt;\f!B="</f>
        <v>#REF!</v>
      </c>
      <c r="EN10" t="e">
        <f>#REF!+"$&gt;\f!B&gt;"</f>
        <v>#REF!</v>
      </c>
      <c r="EO10" t="e">
        <f>#REF!+"$&gt;\f!B?"</f>
        <v>#REF!</v>
      </c>
      <c r="EP10" t="e">
        <f>#REF!+"$&gt;\f!B@"</f>
        <v>#REF!</v>
      </c>
      <c r="EQ10" t="e">
        <f>#REF!+"$&gt;\f!BA"</f>
        <v>#REF!</v>
      </c>
      <c r="ER10" t="e">
        <f>#REF!+"$&gt;\f!BB"</f>
        <v>#REF!</v>
      </c>
      <c r="ES10" t="e">
        <f>#REF!+"$&gt;\f!BC"</f>
        <v>#REF!</v>
      </c>
      <c r="ET10" t="e">
        <f>#REF!+"$&gt;\f!BD"</f>
        <v>#REF!</v>
      </c>
      <c r="EU10" t="e">
        <f>#REF!+"$&gt;\f!BE"</f>
        <v>#REF!</v>
      </c>
      <c r="EV10" t="e">
        <f>#REF!+"$&gt;\f!BF"</f>
        <v>#REF!</v>
      </c>
      <c r="EW10" t="e">
        <f>#REF!+"$&gt;\f!BG"</f>
        <v>#REF!</v>
      </c>
      <c r="EX10" t="e">
        <f>#REF!+"$&gt;\f!BH"</f>
        <v>#REF!</v>
      </c>
      <c r="EY10" t="e">
        <f>#REF!+"$&gt;\f!BI"</f>
        <v>#REF!</v>
      </c>
      <c r="EZ10" t="e">
        <f>#REF!+"$&gt;\f!BJ"</f>
        <v>#REF!</v>
      </c>
      <c r="FA10" t="e">
        <f>#REF!+"$&gt;\f!BK"</f>
        <v>#REF!</v>
      </c>
      <c r="FB10" t="e">
        <f>#REF!+"$&gt;\f!BL"</f>
        <v>#REF!</v>
      </c>
      <c r="FC10" t="e">
        <f>#REF!+"$&gt;\f!BM"</f>
        <v>#REF!</v>
      </c>
      <c r="FD10" t="e">
        <f>#REF!+"$&gt;\f!BN"</f>
        <v>#REF!</v>
      </c>
      <c r="FE10" t="e">
        <f>#REF!+"$&gt;\f!BO"</f>
        <v>#REF!</v>
      </c>
      <c r="FF10" t="e">
        <f>#REF!+"$&gt;\f!BP"</f>
        <v>#REF!</v>
      </c>
      <c r="FG10" t="e">
        <f>#REF!+"$&gt;\f!BQ"</f>
        <v>#REF!</v>
      </c>
      <c r="FH10" t="e">
        <f>#REF!+"$&gt;\f!BR"</f>
        <v>#REF!</v>
      </c>
      <c r="FI10" t="e">
        <f>#REF!+"$&gt;\f!BS"</f>
        <v>#REF!</v>
      </c>
      <c r="FJ10" t="e">
        <f>#REF!+"$&gt;\f!BT"</f>
        <v>#REF!</v>
      </c>
      <c r="FK10" t="e">
        <f>#REF!+"$&gt;\f!BU"</f>
        <v>#REF!</v>
      </c>
      <c r="FL10" t="e">
        <f>#REF!+"$&gt;\f!BV"</f>
        <v>#REF!</v>
      </c>
      <c r="FM10" t="e">
        <f>#REF!+"$&gt;\f!BW"</f>
        <v>#REF!</v>
      </c>
      <c r="FN10" t="e">
        <f>#REF!+"$&gt;\f!BX"</f>
        <v>#REF!</v>
      </c>
      <c r="FO10" t="e">
        <f>#REF!+"$&gt;\f!BY"</f>
        <v>#REF!</v>
      </c>
      <c r="FP10" t="e">
        <f>#REF!+"$&gt;\f!BZ"</f>
        <v>#REF!</v>
      </c>
      <c r="FQ10" t="e">
        <f>#REF!+"$&gt;\f!B["</f>
        <v>#REF!</v>
      </c>
      <c r="FR10" t="e">
        <f>#REF!+"$&gt;\f!B\"</f>
        <v>#REF!</v>
      </c>
      <c r="FS10" t="e">
        <f>#REF!+"$&gt;\f!B]"</f>
        <v>#REF!</v>
      </c>
      <c r="FT10" t="e">
        <f>#REF!+"$&gt;\f!B^"</f>
        <v>#REF!</v>
      </c>
      <c r="FU10" t="e">
        <f>#REF!+"$&gt;\f!B_"</f>
        <v>#REF!</v>
      </c>
      <c r="FV10" t="e">
        <f>#REF!+"$&gt;\f!B`"</f>
        <v>#REF!</v>
      </c>
      <c r="FW10" t="e">
        <f>#REF!+"$&gt;\f!Ba"</f>
        <v>#REF!</v>
      </c>
      <c r="FX10" t="e">
        <f>#REF!+"$&gt;\f!Bb"</f>
        <v>#REF!</v>
      </c>
      <c r="FY10" t="e">
        <f>#REF!+"$&gt;\f!Bc"</f>
        <v>#REF!</v>
      </c>
      <c r="FZ10" t="e">
        <f>#REF!+"$&gt;\f!Bd"</f>
        <v>#REF!</v>
      </c>
      <c r="GA10" t="e">
        <f>#REF!+"$&gt;\f!Be"</f>
        <v>#REF!</v>
      </c>
      <c r="GB10" t="e">
        <f>#REF!+"$&gt;\f!Bf"</f>
        <v>#REF!</v>
      </c>
      <c r="GC10" t="e">
        <f>#REF!+"$&gt;\f!Bg"</f>
        <v>#REF!</v>
      </c>
      <c r="GD10" t="e">
        <f>#REF!+"$&gt;\f!Bh"</f>
        <v>#REF!</v>
      </c>
      <c r="GE10" t="e">
        <f>#REF!+"$&gt;\f!Bi"</f>
        <v>#REF!</v>
      </c>
      <c r="GF10" t="e">
        <f>#REF!+"$&gt;\f!Bj"</f>
        <v>#REF!</v>
      </c>
      <c r="GG10" t="e">
        <f>#REF!+"$&gt;\f!Bk"</f>
        <v>#REF!</v>
      </c>
      <c r="GH10" t="e">
        <f>#REF!+"$&gt;\f!Bl"</f>
        <v>#REF!</v>
      </c>
      <c r="GI10" t="e">
        <f>#REF!+"$&gt;\f!Bm"</f>
        <v>#REF!</v>
      </c>
      <c r="GJ10" t="e">
        <f>#REF!+"$&gt;\f!Bn"</f>
        <v>#REF!</v>
      </c>
      <c r="GK10" t="e">
        <f>#REF!+"$&gt;\f!Bo"</f>
        <v>#REF!</v>
      </c>
      <c r="GL10" t="e">
        <f>#REF!+"$&gt;\f!Bp"</f>
        <v>#REF!</v>
      </c>
      <c r="GM10" t="e">
        <f>#REF!+"$&gt;\f!Bq"</f>
        <v>#REF!</v>
      </c>
      <c r="GN10" t="e">
        <f>#REF!+"$&gt;\f!Br"</f>
        <v>#REF!</v>
      </c>
      <c r="GO10" t="e">
        <f>#REF!+"$&gt;\f!Bs"</f>
        <v>#REF!</v>
      </c>
      <c r="GP10" t="e">
        <f>#REF!+"$&gt;\f!Bt"</f>
        <v>#REF!</v>
      </c>
      <c r="GQ10" t="e">
        <f>#REF!+"$&gt;\f!Bu"</f>
        <v>#REF!</v>
      </c>
      <c r="GR10" t="e">
        <f>#REF!+"$&gt;\f!Bv"</f>
        <v>#REF!</v>
      </c>
      <c r="GS10" t="e">
        <f>#REF!+"$&gt;\f!Bw"</f>
        <v>#REF!</v>
      </c>
      <c r="GT10" t="e">
        <f>#REF!+"$&gt;\f!Bx"</f>
        <v>#REF!</v>
      </c>
      <c r="GU10" t="e">
        <f>#REF!+"$&gt;\f!By"</f>
        <v>#REF!</v>
      </c>
      <c r="GV10" t="e">
        <f>#REF!+"$&gt;\f!Bz"</f>
        <v>#REF!</v>
      </c>
      <c r="GW10" t="e">
        <f>#REF!+"$&gt;\f!B{"</f>
        <v>#REF!</v>
      </c>
      <c r="GX10" t="e">
        <f>#REF!+"$&gt;\f!B|"</f>
        <v>#REF!</v>
      </c>
      <c r="GY10" t="e">
        <f>#REF!+"$&gt;\f!B}"</f>
        <v>#REF!</v>
      </c>
      <c r="GZ10" t="e">
        <f>#REF!+"$&gt;\f!B~"</f>
        <v>#REF!</v>
      </c>
      <c r="HA10" t="e">
        <f>#REF!+"$&gt;\f!C#"</f>
        <v>#REF!</v>
      </c>
      <c r="HB10" t="e">
        <f>#REF!+"$&gt;\f!C$"</f>
        <v>#REF!</v>
      </c>
      <c r="HC10" t="e">
        <f>#REF!+"$&gt;\f!C%"</f>
        <v>#REF!</v>
      </c>
      <c r="HD10" t="e">
        <f>#REF!+"$&gt;\f!C&amp;"</f>
        <v>#REF!</v>
      </c>
      <c r="HE10" t="e">
        <f>#REF!+"$&gt;\f!C'"</f>
        <v>#REF!</v>
      </c>
      <c r="HF10" t="e">
        <f>#REF!+"$&gt;\f!C("</f>
        <v>#REF!</v>
      </c>
      <c r="HG10" t="e">
        <f>#REF!+"$&gt;\f!C)"</f>
        <v>#REF!</v>
      </c>
      <c r="HH10" t="e">
        <f>#REF!+"$&gt;\f!C."</f>
        <v>#REF!</v>
      </c>
      <c r="HI10" t="e">
        <f>#REF!+"$&gt;\f!C/"</f>
        <v>#REF!</v>
      </c>
      <c r="HJ10" t="e">
        <f>#REF!+"$&gt;\f!C0"</f>
        <v>#REF!</v>
      </c>
      <c r="HK10" t="e">
        <f>#REF!+"$&gt;\f!C1"</f>
        <v>#REF!</v>
      </c>
      <c r="HL10" t="e">
        <f>#REF!+"$&gt;\f!C2"</f>
        <v>#REF!</v>
      </c>
      <c r="HM10" t="e">
        <f>#REF!+"$&gt;\f!C3"</f>
        <v>#REF!</v>
      </c>
      <c r="HN10" t="e">
        <f>#REF!+"$&gt;\f!C4"</f>
        <v>#REF!</v>
      </c>
      <c r="HO10" t="e">
        <f>#REF!+"$&gt;\f!C5"</f>
        <v>#REF!</v>
      </c>
      <c r="HP10" t="e">
        <f>#REF!+"$&gt;\f!C6"</f>
        <v>#REF!</v>
      </c>
      <c r="HQ10" t="e">
        <f>#REF!+"$&gt;\f!C7"</f>
        <v>#REF!</v>
      </c>
      <c r="HR10" t="e">
        <f>#REF!+"$&gt;\f!C8"</f>
        <v>#REF!</v>
      </c>
      <c r="HS10" t="e">
        <f>#REF!+"$&gt;\f!C9"</f>
        <v>#REF!</v>
      </c>
      <c r="HT10" t="e">
        <f>#REF!+"$&gt;\f!C:"</f>
        <v>#REF!</v>
      </c>
      <c r="HU10" t="e">
        <f>#REF!+"$&gt;\f!C;"</f>
        <v>#REF!</v>
      </c>
      <c r="HV10" t="e">
        <f>#REF!+"$&gt;\f!C&lt;"</f>
        <v>#REF!</v>
      </c>
      <c r="HW10" t="e">
        <f>#REF!+"$&gt;\f!C="</f>
        <v>#REF!</v>
      </c>
      <c r="HX10" t="e">
        <f>#REF!+"$&gt;\f!C&gt;"</f>
        <v>#REF!</v>
      </c>
      <c r="HY10" t="e">
        <f>#REF!+"$&gt;\f!C?"</f>
        <v>#REF!</v>
      </c>
      <c r="HZ10" t="e">
        <f>#REF!+"$&gt;\f!C@"</f>
        <v>#REF!</v>
      </c>
      <c r="IA10" t="e">
        <f>#REF!+"$&gt;\f!CA"</f>
        <v>#REF!</v>
      </c>
      <c r="IB10" t="e">
        <f>#REF!+"$&gt;\f!CB"</f>
        <v>#REF!</v>
      </c>
      <c r="IC10" t="e">
        <f>#REF!+"$&gt;\f!CC"</f>
        <v>#REF!</v>
      </c>
      <c r="ID10" t="e">
        <f>#REF!+"$&gt;\f!CD"</f>
        <v>#REF!</v>
      </c>
      <c r="IE10" t="e">
        <f>#REF!+"$&gt;\f!CE"</f>
        <v>#REF!</v>
      </c>
      <c r="IF10" t="e">
        <f>#REF!+"$&gt;\f!CF"</f>
        <v>#REF!</v>
      </c>
      <c r="IG10" t="e">
        <f>#REF!+"$&gt;\f!CG"</f>
        <v>#REF!</v>
      </c>
      <c r="IH10" t="e">
        <f>#REF!+"$&gt;\f!CH"</f>
        <v>#REF!</v>
      </c>
      <c r="II10" t="e">
        <f>#REF!+"$&gt;\f!CI"</f>
        <v>#REF!</v>
      </c>
      <c r="IJ10" t="e">
        <f>#REF!+"$&gt;\f!CJ"</f>
        <v>#REF!</v>
      </c>
      <c r="IK10" t="e">
        <f>#REF!+"$&gt;\f!CK"</f>
        <v>#REF!</v>
      </c>
      <c r="IL10" t="e">
        <f>#REF!+"$&gt;\f!CL"</f>
        <v>#REF!</v>
      </c>
      <c r="IM10" t="e">
        <f>#REF!+"$&gt;\f!CM"</f>
        <v>#REF!</v>
      </c>
      <c r="IN10" t="e">
        <f>#REF!+"$&gt;\f!CN"</f>
        <v>#REF!</v>
      </c>
      <c r="IO10" t="e">
        <f>#REF!+"$&gt;\f!CO"</f>
        <v>#REF!</v>
      </c>
      <c r="IP10" t="e">
        <f>#REF!+"$&gt;\f!CP"</f>
        <v>#REF!</v>
      </c>
      <c r="IQ10" t="e">
        <f>#REF!+"$&gt;\f!CQ"</f>
        <v>#REF!</v>
      </c>
      <c r="IR10" t="e">
        <f>#REF!+"$&gt;\f!CR"</f>
        <v>#REF!</v>
      </c>
      <c r="IS10" t="e">
        <f>#REF!+"$&gt;\f!CS"</f>
        <v>#REF!</v>
      </c>
      <c r="IT10" t="e">
        <f>#REF!+"$&gt;\f!CT"</f>
        <v>#REF!</v>
      </c>
      <c r="IU10" t="e">
        <f>#REF!+"$&gt;\f!CU"</f>
        <v>#REF!</v>
      </c>
      <c r="IV10" t="e">
        <f>#REF!+"$&gt;\f!CV"</f>
        <v>#REF!</v>
      </c>
    </row>
    <row r="11" spans="1:256" x14ac:dyDescent="0.25">
      <c r="F11" t="e">
        <f>#REF!+"$&gt;\f!CW"</f>
        <v>#REF!</v>
      </c>
      <c r="G11" t="e">
        <f>#REF!+"$&gt;\f!CX"</f>
        <v>#REF!</v>
      </c>
      <c r="H11" t="e">
        <f>#REF!+"$&gt;\f!CY"</f>
        <v>#REF!</v>
      </c>
      <c r="I11" t="e">
        <f>#REF!+"$&gt;\f!CZ"</f>
        <v>#REF!</v>
      </c>
      <c r="J11" t="e">
        <f>#REF!+"$&gt;\f!C["</f>
        <v>#REF!</v>
      </c>
      <c r="K11" t="e">
        <f>#REF!+"$&gt;\f!C\"</f>
        <v>#REF!</v>
      </c>
      <c r="L11" t="e">
        <f>#REF!+"$&gt;\f!C]"</f>
        <v>#REF!</v>
      </c>
      <c r="M11" t="e">
        <f>#REF!+"$&gt;\f!C^"</f>
        <v>#REF!</v>
      </c>
      <c r="N11" t="e">
        <f>#REF!+"$&gt;\f!C_"</f>
        <v>#REF!</v>
      </c>
      <c r="O11" t="e">
        <f>#REF!+"$&gt;\f!C`"</f>
        <v>#REF!</v>
      </c>
      <c r="P11" t="e">
        <f>#REF!+"$&gt;\f!Ca"</f>
        <v>#REF!</v>
      </c>
      <c r="Q11" t="e">
        <f>#REF!+"$&gt;\f!Cb"</f>
        <v>#REF!</v>
      </c>
      <c r="R11" t="e">
        <f>#REF!+"$&gt;\f!Cc"</f>
        <v>#REF!</v>
      </c>
      <c r="S11" t="e">
        <f>#REF!+"$&gt;\f!Cd"</f>
        <v>#REF!</v>
      </c>
      <c r="T11" t="e">
        <f>#REF!+"$&gt;\f!Ce"</f>
        <v>#REF!</v>
      </c>
      <c r="U11" t="e">
        <f>#REF!+"$&gt;\f!Cf"</f>
        <v>#REF!</v>
      </c>
      <c r="V11" t="e">
        <f>#REF!+"$&gt;\f!Cg"</f>
        <v>#REF!</v>
      </c>
      <c r="W11" t="e">
        <f>#REF!+"$&gt;\f!Ch"</f>
        <v>#REF!</v>
      </c>
      <c r="X11" t="e">
        <f>#REF!+"$&gt;\f!Ci"</f>
        <v>#REF!</v>
      </c>
      <c r="Y11" t="e">
        <f>#REF!+"$&gt;\f!Cj"</f>
        <v>#REF!</v>
      </c>
      <c r="Z11" t="e">
        <f>#REF!+"$&gt;\f!Ck"</f>
        <v>#REF!</v>
      </c>
      <c r="AA11" t="e">
        <f>#REF!+"$&gt;\f!Cl"</f>
        <v>#REF!</v>
      </c>
      <c r="AB11" t="e">
        <f>#REF!+"$&gt;\f!Cm"</f>
        <v>#REF!</v>
      </c>
      <c r="AC11" t="e">
        <f>#REF!+"$&gt;\f!Cn"</f>
        <v>#REF!</v>
      </c>
      <c r="AD11" t="e">
        <f>#REF!+"$&gt;\f!Co"</f>
        <v>#REF!</v>
      </c>
      <c r="AE11" t="e">
        <f>#REF!+"$&gt;\f!Cp"</f>
        <v>#REF!</v>
      </c>
      <c r="AF11" t="e">
        <f>#REF!+"$&gt;\f!Cq"</f>
        <v>#REF!</v>
      </c>
      <c r="AG11" t="e">
        <f>#REF!+"$&gt;\f!Cr"</f>
        <v>#REF!</v>
      </c>
      <c r="AH11" t="e">
        <f>#REF!+"$&gt;\f!Cs"</f>
        <v>#REF!</v>
      </c>
      <c r="AI11" t="e">
        <f>#REF!+"$&gt;\f!Ct"</f>
        <v>#REF!</v>
      </c>
      <c r="AJ11" t="e">
        <f>#REF!+"$&gt;\f!Cu"</f>
        <v>#REF!</v>
      </c>
      <c r="AK11" t="e">
        <f>#REF!+"$&gt;\f!Cv"</f>
        <v>#REF!</v>
      </c>
      <c r="AL11" t="e">
        <f>#REF!+"$&gt;\f!Cw"</f>
        <v>#REF!</v>
      </c>
      <c r="AM11" t="e">
        <f>#REF!+"$&gt;\f!Cx"</f>
        <v>#REF!</v>
      </c>
      <c r="AN11" t="e">
        <f>#REF!+"$&gt;\f!Cy"</f>
        <v>#REF!</v>
      </c>
      <c r="AO11" t="e">
        <f>#REF!+"$&gt;\f!Cz"</f>
        <v>#REF!</v>
      </c>
      <c r="AP11" t="e">
        <f>#REF!+"$&gt;\f!C{"</f>
        <v>#REF!</v>
      </c>
      <c r="AQ11" t="e">
        <f>#REF!+"$&gt;\f!C|"</f>
        <v>#REF!</v>
      </c>
      <c r="AR11" t="e">
        <f>#REF!+"$&gt;\f!C}"</f>
        <v>#REF!</v>
      </c>
      <c r="AS11" t="e">
        <f>#REF!+"$&gt;\f!C~"</f>
        <v>#REF!</v>
      </c>
      <c r="AT11" t="e">
        <f>#REF!+"$&gt;\f!D#"</f>
        <v>#REF!</v>
      </c>
      <c r="AU11" t="e">
        <f>#REF!+"$&gt;\f!D$"</f>
        <v>#REF!</v>
      </c>
      <c r="AV11" t="e">
        <f>#REF!+"$&gt;\f!D%"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ADTL_PRE_POST_CSE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Crossley, Richard</dc:creator>
  <cp:keywords>CTPClassification=CTP_NT</cp:keywords>
  <cp:lastModifiedBy>Mc Donagh, Mark</cp:lastModifiedBy>
  <dcterms:created xsi:type="dcterms:W3CDTF">2019-10-02T15:00:18Z</dcterms:created>
  <dcterms:modified xsi:type="dcterms:W3CDTF">2021-10-12T12:21:19Z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0754df31-acef-4970-8aa8-0cbfa232f8c6</vt:lpwstr>
  </property>
  <property fmtid="{D5CDD505-2E9C-101B-9397-08002B2CF9AE}" pid="3" name="CTP_TimeStamp">
    <vt:lpwstr>2019-12-10 10:43:51Z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Offisync_ServerID">
    <vt:lpwstr>d001a694-7c66-4352-b53b-895ffdce369f</vt:lpwstr>
  </property>
  <property fmtid="{D5CDD505-2E9C-101B-9397-08002B2CF9AE}" pid="8" name="Offisync_ProviderInitializationData">
    <vt:lpwstr>https://soco.intel.com/</vt:lpwstr>
  </property>
  <property fmtid="{D5CDD505-2E9C-101B-9397-08002B2CF9AE}" pid="9" name="Offisync_UpdateToken">
    <vt:lpwstr>1</vt:lpwstr>
  </property>
  <property fmtid="{D5CDD505-2E9C-101B-9397-08002B2CF9AE}" pid="10" name="Jive_PrevVersionNumber">
    <vt:lpwstr>-1</vt:lpwstr>
  </property>
  <property fmtid="{D5CDD505-2E9C-101B-9397-08002B2CF9AE}" pid="11" name="Jive_LatestUserAccountName">
    <vt:lpwstr>mmcdonag</vt:lpwstr>
  </property>
  <property fmtid="{D5CDD505-2E9C-101B-9397-08002B2CF9AE}" pid="12" name="Jive_LatestFileFullName">
    <vt:lpwstr>525a439b67d8c8e66f392fe29c2c9f21</vt:lpwstr>
  </property>
  <property fmtid="{D5CDD505-2E9C-101B-9397-08002B2CF9AE}" pid="13" name="Jive_ModifiedButNotPublished">
    <vt:lpwstr>False</vt:lpwstr>
  </property>
  <property fmtid="{D5CDD505-2E9C-101B-9397-08002B2CF9AE}" pid="14" name="Offisync_UniqueId">
    <vt:lpwstr>2678621</vt:lpwstr>
  </property>
  <property fmtid="{D5CDD505-2E9C-101B-9397-08002B2CF9AE}" pid="15" name="CTPClassification">
    <vt:lpwstr>CTP_NT</vt:lpwstr>
  </property>
</Properties>
</file>